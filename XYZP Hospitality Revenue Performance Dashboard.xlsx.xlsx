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D:\Data Analytics Portfolio\Project 1_Hospitality Revenue Performance Dashboard\Cleaned_Data\"/>
    </mc:Choice>
  </mc:AlternateContent>
  <xr:revisionPtr revIDLastSave="0" documentId="13_ncr:1_{F8E44BCD-40C3-45F5-BBB8-2C9532F35D8E}" xr6:coauthVersionLast="47" xr6:coauthVersionMax="47" xr10:uidLastSave="{00000000-0000-0000-0000-000000000000}"/>
  <bookViews>
    <workbookView xWindow="-110" yWindow="-110" windowWidth="19420" windowHeight="10300" xr2:uid="{C80C349C-66E2-4AEC-84B3-DEFECED84EB1}"/>
  </bookViews>
  <sheets>
    <sheet name="Dashboard V2 Worksheet" sheetId="11" r:id="rId1"/>
    <sheet name="Master_Pivot" sheetId="10" r:id="rId2"/>
    <sheet name="Master Data Table" sheetId="1" r:id="rId3"/>
    <sheet name="Contribution_Pivot" sheetId="8" r:id="rId4"/>
    <sheet name="Revenue_Pivot" sheetId="3" r:id="rId5"/>
    <sheet name="Occupancy_Pivot" sheetId="15" r:id="rId6"/>
    <sheet name="Performance_Pivot" sheetId="9" r:id="rId7"/>
    <sheet name="Room_Pivot" sheetId="2" r:id="rId8"/>
    <sheet name="Food_Pivot" sheetId="4" r:id="rId9"/>
    <sheet name="Beverage_Pivot" sheetId="5" r:id="rId10"/>
    <sheet name="Sundry_Pivot" sheetId="6" r:id="rId11"/>
    <sheet name="Room Occupancy Rate" sheetId="12" r:id="rId12"/>
  </sheets>
  <definedNames>
    <definedName name="_xlnm.Print_Area" localSheetId="0">'Dashboard V2 Worksheet'!$A:$Y</definedName>
    <definedName name="Slicer_Month">#N/A</definedName>
  </definedNames>
  <calcPr calcId="191029"/>
  <pivotCaches>
    <pivotCache cacheId="0"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8" l="1"/>
  <c r="C6" i="8"/>
  <c r="C7" i="8"/>
  <c r="C4" i="8"/>
  <c r="I4" i="10"/>
  <c r="I3" i="10"/>
  <c r="I5" i="10"/>
  <c r="I6" i="10"/>
  <c r="I7" i="10"/>
</calcChain>
</file>

<file path=xl/sharedStrings.xml><?xml version="1.0" encoding="utf-8"?>
<sst xmlns="http://schemas.openxmlformats.org/spreadsheetml/2006/main" count="103" uniqueCount="36">
  <si>
    <t>Month</t>
  </si>
  <si>
    <t>Room Sales</t>
  </si>
  <si>
    <t>Food Sales</t>
  </si>
  <si>
    <t>Beverage Sales</t>
  </si>
  <si>
    <t>Sundry Sales</t>
  </si>
  <si>
    <t>Total Revenue</t>
  </si>
  <si>
    <t>Jan</t>
  </si>
  <si>
    <t>Feb</t>
  </si>
  <si>
    <t>Mar</t>
  </si>
  <si>
    <t>Apr</t>
  </si>
  <si>
    <t>May</t>
  </si>
  <si>
    <t>Jun</t>
  </si>
  <si>
    <t>Grand Total</t>
  </si>
  <si>
    <t>Sum of Room Sales</t>
  </si>
  <si>
    <t>Total Room Sales</t>
  </si>
  <si>
    <t>Sum of Total Revenue</t>
  </si>
  <si>
    <t>Sum of Food Sales</t>
  </si>
  <si>
    <t>Total Food Sales</t>
  </si>
  <si>
    <t>Sum of Beverage Sales</t>
  </si>
  <si>
    <t>Total Beverage Sales</t>
  </si>
  <si>
    <t>Sum of Sundry Sales</t>
  </si>
  <si>
    <t>Total Sundry Sales</t>
  </si>
  <si>
    <t>Business Unit</t>
  </si>
  <si>
    <t xml:space="preserve"> Room Sales</t>
  </si>
  <si>
    <t xml:space="preserve"> Food Sales</t>
  </si>
  <si>
    <t xml:space="preserve"> Beverage Sales</t>
  </si>
  <si>
    <t xml:space="preserve"> Sundry Sales</t>
  </si>
  <si>
    <t>Chart Label</t>
  </si>
  <si>
    <t>XYZP HOSPITALITY H1 REVENUE PERFORMANCE DASHBOARD</t>
  </si>
  <si>
    <t>H3:KPI Revenue</t>
  </si>
  <si>
    <t>H4:KPI RoomSales</t>
  </si>
  <si>
    <t>H5:KPI Food Sales</t>
  </si>
  <si>
    <t>H6:KPI Beverage Sales</t>
  </si>
  <si>
    <t>H7:KPI Sundry Sales</t>
  </si>
  <si>
    <t>Room Occupancy Rate</t>
  </si>
  <si>
    <t>Sum of Room Occupancy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</si>
</sst>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M&quot;"/>
  </numFmts>
  <fonts count="4" x14ac:knownFonts="1">
    <font>
      <sz val="11"/>
      <color theme="1"/>
      <name val="Aptos Narrow"/>
      <family val="2"/>
      <scheme val="minor"/>
    </font>
    <font>
      <sz val="8"/>
      <name val="Aptos Narrow"/>
      <family val="2"/>
      <scheme val="minor"/>
    </font>
    <font>
      <sz val="11"/>
      <color theme="1"/>
      <name val="Aptos Narrow"/>
      <family val="2"/>
      <scheme val="minor"/>
    </font>
    <font>
      <b/>
      <sz val="28"/>
      <color theme="0"/>
      <name val="Aptos Narrow"/>
      <family val="2"/>
      <scheme val="minor"/>
    </font>
  </fonts>
  <fills count="3">
    <fill>
      <patternFill patternType="none"/>
    </fill>
    <fill>
      <patternFill patternType="gray125"/>
    </fill>
    <fill>
      <patternFill patternType="solid">
        <fgColor theme="3" tint="0.249977111117893"/>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8">
    <xf numFmtId="0" fontId="0" fillId="0" borderId="0" xfId="0"/>
    <xf numFmtId="4"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1" applyFont="1"/>
    <xf numFmtId="9" fontId="0" fillId="0" borderId="0" xfId="0" applyNumberFormat="1"/>
    <xf numFmtId="0" fontId="3" fillId="2" borderId="0" xfId="0" applyFont="1" applyFill="1" applyAlignment="1">
      <alignment horizontal="center"/>
    </xf>
  </cellXfs>
  <cellStyles count="2">
    <cellStyle name="Normal" xfId="0" builtinId="0"/>
    <cellStyle name="Percent" xfId="1" builtinId="5"/>
  </cellStyles>
  <dxfs count="6">
    <dxf>
      <numFmt numFmtId="4" formatCode="#,##0.00"/>
    </dxf>
    <dxf>
      <numFmt numFmtId="4" formatCode="#,##0.00"/>
    </dxf>
    <dxf>
      <numFmt numFmtId="4" formatCode="#,##0.00"/>
    </dxf>
    <dxf>
      <numFmt numFmtId="4" formatCode="#,##0.00"/>
    </dxf>
    <dxf>
      <numFmt numFmtId="4" formatCode="#,##0.00"/>
    </dxf>
    <dxf>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Contribution By </a:t>
            </a:r>
            <a:r>
              <a:rPr lang="en-US" sz="1600" b="1"/>
              <a:t>Business</a:t>
            </a:r>
            <a:r>
              <a:rPr lang="en-US" sz="1600" b="1" baseline="0"/>
              <a:t> Unit</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87CDA2E-9FBB-4466-97DD-25310667C25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B2D08A4-0BF8-4602-BA33-018401E64C5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375816-F3D4-444E-B041-33B25AC8CDF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A7FD530-32E0-408D-8FFC-B5183ED026E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3225BF1-273B-4716-A877-35DD8F2C2B4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8E2C075-014F-4EAA-8E75-735E0675E6F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47B477A-1417-467D-BC64-2157DCC0D61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B9A55DD-616E-4BBD-84B0-A2C9F29606D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v>Total</c:v>
          </c:tx>
          <c:spPr>
            <a:solidFill>
              <a:schemeClr val="accent1"/>
            </a:solidFill>
            <a:ln>
              <a:noFill/>
            </a:ln>
            <a:effectLst/>
          </c:spPr>
          <c:invertIfNegative val="0"/>
          <c:dLbls>
            <c:dLbl>
              <c:idx val="0"/>
              <c:tx>
                <c:rich>
                  <a:bodyPr/>
                  <a:lstStyle/>
                  <a:p>
                    <a:fld id="{2FD34B26-14F1-477E-9BFB-7E69A1A1D30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1C8-4FC1-8DD7-F6367C29B378}"/>
                </c:ext>
              </c:extLst>
            </c:dLbl>
            <c:dLbl>
              <c:idx val="1"/>
              <c:tx>
                <c:rich>
                  <a:bodyPr/>
                  <a:lstStyle/>
                  <a:p>
                    <a:fld id="{31FE1AEB-03F4-4C8B-B487-D0729219F9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1C8-4FC1-8DD7-F6367C29B378}"/>
                </c:ext>
              </c:extLst>
            </c:dLbl>
            <c:dLbl>
              <c:idx val="2"/>
              <c:tx>
                <c:rich>
                  <a:bodyPr/>
                  <a:lstStyle/>
                  <a:p>
                    <a:fld id="{05AC9C11-B0C7-4B32-AC22-E3DA6B43B3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1C8-4FC1-8DD7-F6367C29B378}"/>
                </c:ext>
              </c:extLst>
            </c:dLbl>
            <c:dLbl>
              <c:idx val="3"/>
              <c:tx>
                <c:rich>
                  <a:bodyPr/>
                  <a:lstStyle/>
                  <a:p>
                    <a:fld id="{78D6A9AB-9DBA-4AAE-B230-0926449220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1C8-4FC1-8DD7-F6367C29B378}"/>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4"/>
              <c:pt idx="0">
                <c:v> Room Sales</c:v>
              </c:pt>
              <c:pt idx="1">
                <c:v> Food Sales</c:v>
              </c:pt>
              <c:pt idx="2">
                <c:v> Beverage Sales</c:v>
              </c:pt>
              <c:pt idx="3">
                <c:v> Sundry Sales</c:v>
              </c:pt>
            </c:strLit>
          </c:cat>
          <c:val>
            <c:numLit>
              <c:formatCode>General</c:formatCode>
              <c:ptCount val="4"/>
              <c:pt idx="0">
                <c:v>99896869</c:v>
              </c:pt>
              <c:pt idx="1">
                <c:v>89749150</c:v>
              </c:pt>
              <c:pt idx="2">
                <c:v>63169500</c:v>
              </c:pt>
              <c:pt idx="3">
                <c:v>26347400</c:v>
              </c:pt>
            </c:numLit>
          </c:val>
          <c:extLst>
            <c:ext xmlns:c15="http://schemas.microsoft.com/office/drawing/2012/chart" uri="{02D57815-91ED-43cb-92C2-25804820EDAC}">
              <c15:datalabelsRange>
                <c15:f>Contribution_Pivot!$C$4:$C$7</c15:f>
                <c15:dlblRangeCache>
                  <c:ptCount val="4"/>
                  <c:pt idx="0">
                    <c:v>₦99.9M</c:v>
                  </c:pt>
                  <c:pt idx="1">
                    <c:v>₦89.7M</c:v>
                  </c:pt>
                  <c:pt idx="2">
                    <c:v>₦63.2M</c:v>
                  </c:pt>
                  <c:pt idx="3">
                    <c:v>₦26.3M</c:v>
                  </c:pt>
                </c15:dlblRangeCache>
              </c15:datalabelsRange>
            </c:ext>
            <c:ext xmlns:c16="http://schemas.microsoft.com/office/drawing/2014/chart" uri="{C3380CC4-5D6E-409C-BE32-E72D297353CC}">
              <c16:uniqueId val="{00000004-11C8-4FC1-8DD7-F6367C29B378}"/>
            </c:ext>
          </c:extLst>
        </c:ser>
        <c:dLbls>
          <c:showLegendKey val="0"/>
          <c:showVal val="1"/>
          <c:showCatName val="0"/>
          <c:showSerName val="0"/>
          <c:showPercent val="0"/>
          <c:showBubbleSize val="0"/>
        </c:dLbls>
        <c:gapWidth val="219"/>
        <c:overlap val="-27"/>
        <c:axId val="1554429888"/>
        <c:axId val="1445294960"/>
      </c:barChart>
      <c:catAx>
        <c:axId val="155442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445294960"/>
        <c:crosses val="autoZero"/>
        <c:auto val="1"/>
        <c:lblAlgn val="ctr"/>
        <c:lblOffset val="100"/>
        <c:noMultiLvlLbl val="0"/>
      </c:catAx>
      <c:valAx>
        <c:axId val="144529496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554429888"/>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[XYZP Hospitality Revenue Performance Dashboard.xlsx.xlsx]Revenue_Pivot!PivotTable4</c:name>
    <c:fmtId val="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Monthly</a:t>
            </a:r>
            <a:r>
              <a:rPr lang="en-US" sz="1600" b="1" baseline="0"/>
              <a:t> Revenue Trends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Revenue_Pivot!$B$3</c:f>
              <c:strCache>
                <c:ptCount val="1"/>
                <c:pt idx="0">
                  <c:v>Total</c:v>
                </c:pt>
              </c:strCache>
            </c:strRef>
          </c:tx>
          <c:spPr>
            <a:ln w="28575" cap="rnd">
              <a:solidFill>
                <a:schemeClr val="accent1"/>
              </a:solidFill>
              <a:round/>
            </a:ln>
            <a:effectLst/>
          </c:spPr>
          <c:marker>
            <c:symbol val="none"/>
          </c:marker>
          <c:cat>
            <c:strRef>
              <c:f>Revenue_Pivot!$A$4:$A$10</c:f>
              <c:strCache>
                <c:ptCount val="6"/>
                <c:pt idx="0">
                  <c:v>Jan</c:v>
                </c:pt>
                <c:pt idx="1">
                  <c:v>Feb</c:v>
                </c:pt>
                <c:pt idx="2">
                  <c:v>Mar</c:v>
                </c:pt>
                <c:pt idx="3">
                  <c:v>Apr</c:v>
                </c:pt>
                <c:pt idx="4">
                  <c:v>May</c:v>
                </c:pt>
                <c:pt idx="5">
                  <c:v>Jun</c:v>
                </c:pt>
              </c:strCache>
            </c:strRef>
          </c:cat>
          <c:val>
            <c:numRef>
              <c:f>Revenue_Pivot!$B$4:$B$10</c:f>
              <c:numCache>
                <c:formatCode>#,##0.00</c:formatCode>
                <c:ptCount val="6"/>
                <c:pt idx="0">
                  <c:v>42928970</c:v>
                </c:pt>
                <c:pt idx="1">
                  <c:v>38386923</c:v>
                </c:pt>
                <c:pt idx="2">
                  <c:v>54996331</c:v>
                </c:pt>
                <c:pt idx="3">
                  <c:v>56149185</c:v>
                </c:pt>
                <c:pt idx="4">
                  <c:v>49045826</c:v>
                </c:pt>
                <c:pt idx="5">
                  <c:v>34113484</c:v>
                </c:pt>
              </c:numCache>
            </c:numRef>
          </c:val>
          <c:smooth val="0"/>
          <c:extLst>
            <c:ext xmlns:c16="http://schemas.microsoft.com/office/drawing/2014/chart" uri="{C3380CC4-5D6E-409C-BE32-E72D297353CC}">
              <c16:uniqueId val="{00000000-3420-4DAF-BE19-BEB1CDB9F293}"/>
            </c:ext>
          </c:extLst>
        </c:ser>
        <c:dLbls>
          <c:showLegendKey val="0"/>
          <c:showVal val="0"/>
          <c:showCatName val="0"/>
          <c:showSerName val="0"/>
          <c:showPercent val="0"/>
          <c:showBubbleSize val="0"/>
        </c:dLbls>
        <c:smooth val="0"/>
        <c:axId val="1052173616"/>
        <c:axId val="1061784976"/>
      </c:lineChart>
      <c:catAx>
        <c:axId val="105217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061784976"/>
        <c:crosses val="autoZero"/>
        <c:auto val="1"/>
        <c:lblAlgn val="ctr"/>
        <c:lblOffset val="100"/>
        <c:noMultiLvlLbl val="0"/>
      </c:catAx>
      <c:valAx>
        <c:axId val="1061784976"/>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052173616"/>
        <c:crosses val="autoZero"/>
        <c:crossBetween val="between"/>
        <c:dispUnits>
          <c:builtInUnit val="millions"/>
          <c:dispUnitsLbl>
            <c:layout>
              <c:manualLayout>
                <c:xMode val="edge"/>
                <c:yMode val="edge"/>
                <c:x val="1.547720060324184E-2"/>
                <c:y val="0.28245318227626609"/>
              </c:manualLayout>
            </c:layout>
            <c:spPr>
              <a:noFill/>
              <a:ln>
                <a:noFill/>
              </a:ln>
              <a:effectLst/>
            </c:spPr>
            <c:txPr>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dispUnitsLbl>
        </c:dispUnits>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[XYZP Hospitality Revenue Performance Dashboard.xlsx.xlsx]Performance_Pivot!PivotTable1</c:name>
    <c:fmtId val="7"/>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Monthly</a:t>
            </a:r>
            <a:r>
              <a:rPr lang="en-US" sz="1600" b="1" baseline="0"/>
              <a:t> Business Unit Performance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Performance_Pivot!$B$3</c:f>
              <c:strCache>
                <c:ptCount val="1"/>
                <c:pt idx="0">
                  <c:v>Sum of Room Sales</c:v>
                </c:pt>
              </c:strCache>
            </c:strRef>
          </c:tx>
          <c:spPr>
            <a:solidFill>
              <a:schemeClr val="accent1"/>
            </a:solidFill>
            <a:ln>
              <a:noFill/>
            </a:ln>
            <a:effectLst/>
          </c:spPr>
          <c:invertIfNegative val="0"/>
          <c:cat>
            <c:strRef>
              <c:f>Performance_Pivot!$A$4:$A$10</c:f>
              <c:strCache>
                <c:ptCount val="6"/>
                <c:pt idx="0">
                  <c:v>Jan</c:v>
                </c:pt>
                <c:pt idx="1">
                  <c:v>Feb</c:v>
                </c:pt>
                <c:pt idx="2">
                  <c:v>Mar</c:v>
                </c:pt>
                <c:pt idx="3">
                  <c:v>Apr</c:v>
                </c:pt>
                <c:pt idx="4">
                  <c:v>May</c:v>
                </c:pt>
                <c:pt idx="5">
                  <c:v>Jun</c:v>
                </c:pt>
              </c:strCache>
            </c:strRef>
          </c:cat>
          <c:val>
            <c:numRef>
              <c:f>Performance_Pivot!$B$4:$B$10</c:f>
              <c:numCache>
                <c:formatCode>#,##0.00</c:formatCode>
                <c:ptCount val="6"/>
                <c:pt idx="0">
                  <c:v>12631970</c:v>
                </c:pt>
                <c:pt idx="1">
                  <c:v>12660923</c:v>
                </c:pt>
                <c:pt idx="2">
                  <c:v>21419981</c:v>
                </c:pt>
                <c:pt idx="3">
                  <c:v>25529485</c:v>
                </c:pt>
                <c:pt idx="4">
                  <c:v>16682226</c:v>
                </c:pt>
                <c:pt idx="5">
                  <c:v>10972284</c:v>
                </c:pt>
              </c:numCache>
            </c:numRef>
          </c:val>
          <c:extLst>
            <c:ext xmlns:c16="http://schemas.microsoft.com/office/drawing/2014/chart" uri="{C3380CC4-5D6E-409C-BE32-E72D297353CC}">
              <c16:uniqueId val="{00000000-13BA-4D57-99C3-241FECFEF768}"/>
            </c:ext>
          </c:extLst>
        </c:ser>
        <c:ser>
          <c:idx val="1"/>
          <c:order val="1"/>
          <c:tx>
            <c:strRef>
              <c:f>Performance_Pivot!$C$3</c:f>
              <c:strCache>
                <c:ptCount val="1"/>
                <c:pt idx="0">
                  <c:v>Sum of Food Sales</c:v>
                </c:pt>
              </c:strCache>
            </c:strRef>
          </c:tx>
          <c:spPr>
            <a:solidFill>
              <a:schemeClr val="accent2"/>
            </a:solidFill>
            <a:ln>
              <a:noFill/>
            </a:ln>
            <a:effectLst/>
          </c:spPr>
          <c:invertIfNegative val="0"/>
          <c:cat>
            <c:strRef>
              <c:f>Performance_Pivot!$A$4:$A$10</c:f>
              <c:strCache>
                <c:ptCount val="6"/>
                <c:pt idx="0">
                  <c:v>Jan</c:v>
                </c:pt>
                <c:pt idx="1">
                  <c:v>Feb</c:v>
                </c:pt>
                <c:pt idx="2">
                  <c:v>Mar</c:v>
                </c:pt>
                <c:pt idx="3">
                  <c:v>Apr</c:v>
                </c:pt>
                <c:pt idx="4">
                  <c:v>May</c:v>
                </c:pt>
                <c:pt idx="5">
                  <c:v>Jun</c:v>
                </c:pt>
              </c:strCache>
            </c:strRef>
          </c:cat>
          <c:val>
            <c:numRef>
              <c:f>Performance_Pivot!$C$4:$C$10</c:f>
              <c:numCache>
                <c:formatCode>#,##0.00</c:formatCode>
                <c:ptCount val="6"/>
                <c:pt idx="0">
                  <c:v>13383500</c:v>
                </c:pt>
                <c:pt idx="1">
                  <c:v>12902700</c:v>
                </c:pt>
                <c:pt idx="2">
                  <c:v>18584550</c:v>
                </c:pt>
                <c:pt idx="3">
                  <c:v>16074500</c:v>
                </c:pt>
                <c:pt idx="4">
                  <c:v>16924700</c:v>
                </c:pt>
                <c:pt idx="5">
                  <c:v>11879200</c:v>
                </c:pt>
              </c:numCache>
            </c:numRef>
          </c:val>
          <c:extLst>
            <c:ext xmlns:c16="http://schemas.microsoft.com/office/drawing/2014/chart" uri="{C3380CC4-5D6E-409C-BE32-E72D297353CC}">
              <c16:uniqueId val="{00000001-13BA-4D57-99C3-241FECFEF768}"/>
            </c:ext>
          </c:extLst>
        </c:ser>
        <c:ser>
          <c:idx val="2"/>
          <c:order val="2"/>
          <c:tx>
            <c:strRef>
              <c:f>Performance_Pivot!$D$3</c:f>
              <c:strCache>
                <c:ptCount val="1"/>
                <c:pt idx="0">
                  <c:v>Sum of Beverage Sales</c:v>
                </c:pt>
              </c:strCache>
            </c:strRef>
          </c:tx>
          <c:spPr>
            <a:solidFill>
              <a:schemeClr val="accent3"/>
            </a:solidFill>
            <a:ln>
              <a:noFill/>
            </a:ln>
            <a:effectLst/>
          </c:spPr>
          <c:invertIfNegative val="0"/>
          <c:cat>
            <c:strRef>
              <c:f>Performance_Pivot!$A$4:$A$10</c:f>
              <c:strCache>
                <c:ptCount val="6"/>
                <c:pt idx="0">
                  <c:v>Jan</c:v>
                </c:pt>
                <c:pt idx="1">
                  <c:v>Feb</c:v>
                </c:pt>
                <c:pt idx="2">
                  <c:v>Mar</c:v>
                </c:pt>
                <c:pt idx="3">
                  <c:v>Apr</c:v>
                </c:pt>
                <c:pt idx="4">
                  <c:v>May</c:v>
                </c:pt>
                <c:pt idx="5">
                  <c:v>Jun</c:v>
                </c:pt>
              </c:strCache>
            </c:strRef>
          </c:cat>
          <c:val>
            <c:numRef>
              <c:f>Performance_Pivot!$D$4:$D$10</c:f>
              <c:numCache>
                <c:formatCode>#,##0.00</c:formatCode>
                <c:ptCount val="6"/>
                <c:pt idx="0">
                  <c:v>12008000</c:v>
                </c:pt>
                <c:pt idx="1">
                  <c:v>8720000</c:v>
                </c:pt>
                <c:pt idx="2">
                  <c:v>9905500</c:v>
                </c:pt>
                <c:pt idx="3">
                  <c:v>9953800</c:v>
                </c:pt>
                <c:pt idx="4">
                  <c:v>10703000</c:v>
                </c:pt>
                <c:pt idx="5">
                  <c:v>11879200</c:v>
                </c:pt>
              </c:numCache>
            </c:numRef>
          </c:val>
          <c:extLst>
            <c:ext xmlns:c16="http://schemas.microsoft.com/office/drawing/2014/chart" uri="{C3380CC4-5D6E-409C-BE32-E72D297353CC}">
              <c16:uniqueId val="{00000002-13BA-4D57-99C3-241FECFEF768}"/>
            </c:ext>
          </c:extLst>
        </c:ser>
        <c:ser>
          <c:idx val="3"/>
          <c:order val="3"/>
          <c:tx>
            <c:strRef>
              <c:f>Performance_Pivot!$E$3</c:f>
              <c:strCache>
                <c:ptCount val="1"/>
                <c:pt idx="0">
                  <c:v>Sum of Sundry Sales</c:v>
                </c:pt>
              </c:strCache>
            </c:strRef>
          </c:tx>
          <c:spPr>
            <a:solidFill>
              <a:schemeClr val="accent4"/>
            </a:solidFill>
            <a:ln>
              <a:noFill/>
            </a:ln>
            <a:effectLst/>
          </c:spPr>
          <c:invertIfNegative val="0"/>
          <c:cat>
            <c:strRef>
              <c:f>Performance_Pivot!$A$4:$A$10</c:f>
              <c:strCache>
                <c:ptCount val="6"/>
                <c:pt idx="0">
                  <c:v>Jan</c:v>
                </c:pt>
                <c:pt idx="1">
                  <c:v>Feb</c:v>
                </c:pt>
                <c:pt idx="2">
                  <c:v>Mar</c:v>
                </c:pt>
                <c:pt idx="3">
                  <c:v>Apr</c:v>
                </c:pt>
                <c:pt idx="4">
                  <c:v>May</c:v>
                </c:pt>
                <c:pt idx="5">
                  <c:v>Jun</c:v>
                </c:pt>
              </c:strCache>
            </c:strRef>
          </c:cat>
          <c:val>
            <c:numRef>
              <c:f>Performance_Pivot!$E$4:$E$10</c:f>
              <c:numCache>
                <c:formatCode>#,##0.00</c:formatCode>
                <c:ptCount val="6"/>
                <c:pt idx="0">
                  <c:v>4905500</c:v>
                </c:pt>
                <c:pt idx="1">
                  <c:v>4103300</c:v>
                </c:pt>
                <c:pt idx="2">
                  <c:v>5086300</c:v>
                </c:pt>
                <c:pt idx="3">
                  <c:v>4591400</c:v>
                </c:pt>
                <c:pt idx="4">
                  <c:v>4735900</c:v>
                </c:pt>
                <c:pt idx="5">
                  <c:v>2925000</c:v>
                </c:pt>
              </c:numCache>
            </c:numRef>
          </c:val>
          <c:extLst>
            <c:ext xmlns:c16="http://schemas.microsoft.com/office/drawing/2014/chart" uri="{C3380CC4-5D6E-409C-BE32-E72D297353CC}">
              <c16:uniqueId val="{00000003-13BA-4D57-99C3-241FECFEF768}"/>
            </c:ext>
          </c:extLst>
        </c:ser>
        <c:dLbls>
          <c:showLegendKey val="0"/>
          <c:showVal val="0"/>
          <c:showCatName val="0"/>
          <c:showSerName val="0"/>
          <c:showPercent val="0"/>
          <c:showBubbleSize val="0"/>
        </c:dLbls>
        <c:gapWidth val="219"/>
        <c:overlap val="-27"/>
        <c:axId val="1698936848"/>
        <c:axId val="1447876816"/>
      </c:barChart>
      <c:catAx>
        <c:axId val="169893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447876816"/>
        <c:crosses val="autoZero"/>
        <c:auto val="1"/>
        <c:lblAlgn val="ctr"/>
        <c:lblOffset val="100"/>
        <c:noMultiLvlLbl val="0"/>
      </c:catAx>
      <c:valAx>
        <c:axId val="1447876816"/>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698936848"/>
        <c:crosses val="autoZero"/>
        <c:crossBetween val="between"/>
        <c:dispUnits>
          <c:builtInUnit val="millions"/>
          <c:dispUnitsLbl>
            <c:layout>
              <c:manualLayout>
                <c:xMode val="edge"/>
                <c:yMode val="edge"/>
                <c:x val="4.0035300494561266E-3"/>
                <c:y val="0.27875732104278644"/>
              </c:manualLayout>
            </c:layout>
            <c:spPr>
              <a:noFill/>
              <a:ln>
                <a:noFill/>
              </a:ln>
              <a:effectLst/>
            </c:spPr>
            <c:txPr>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dispUnitsLbl>
        </c:dispUnits>
      </c:val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[XYZP Hospitality Revenue Performance Dashboard.xlsx.xlsx]Occupancy_Pivot!PivotTable3</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Room</a:t>
            </a:r>
            <a:r>
              <a:rPr lang="en-US" sz="1600" b="1" baseline="0"/>
              <a:t> Occupancy Rate Performance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Occupancy_Pivot!$B$3</c:f>
              <c:strCache>
                <c:ptCount val="1"/>
                <c:pt idx="0">
                  <c:v>Total</c:v>
                </c:pt>
              </c:strCache>
            </c:strRef>
          </c:tx>
          <c:spPr>
            <a:ln w="28575" cap="rnd">
              <a:solidFill>
                <a:schemeClr val="accent1"/>
              </a:solidFill>
              <a:round/>
            </a:ln>
            <a:effectLst/>
          </c:spPr>
          <c:marker>
            <c:symbol val="none"/>
          </c:marker>
          <c:cat>
            <c:strRef>
              <c:f>Occupancy_Pivot!$A$4:$A$9</c:f>
              <c:strCache>
                <c:ptCount val="6"/>
                <c:pt idx="0">
                  <c:v>Jan</c:v>
                </c:pt>
                <c:pt idx="1">
                  <c:v>Feb</c:v>
                </c:pt>
                <c:pt idx="2">
                  <c:v>Mar</c:v>
                </c:pt>
                <c:pt idx="3">
                  <c:v>Apr</c:v>
                </c:pt>
                <c:pt idx="4">
                  <c:v>May</c:v>
                </c:pt>
                <c:pt idx="5">
                  <c:v>Jun</c:v>
                </c:pt>
              </c:strCache>
            </c:strRef>
          </c:cat>
          <c:val>
            <c:numRef>
              <c:f>Occupancy_Pivot!$B$4:$B$9</c:f>
              <c:numCache>
                <c:formatCode>0%</c:formatCode>
                <c:ptCount val="6"/>
                <c:pt idx="0">
                  <c:v>0.28000000000000003</c:v>
                </c:pt>
                <c:pt idx="1">
                  <c:v>0.33</c:v>
                </c:pt>
                <c:pt idx="2">
                  <c:v>0.45</c:v>
                </c:pt>
                <c:pt idx="3">
                  <c:v>0.61</c:v>
                </c:pt>
                <c:pt idx="4">
                  <c:v>0.41</c:v>
                </c:pt>
                <c:pt idx="5">
                  <c:v>0.32</c:v>
                </c:pt>
              </c:numCache>
            </c:numRef>
          </c:val>
          <c:smooth val="0"/>
          <c:extLst>
            <c:ext xmlns:c16="http://schemas.microsoft.com/office/drawing/2014/chart" uri="{C3380CC4-5D6E-409C-BE32-E72D297353CC}">
              <c16:uniqueId val="{00000000-BCC2-462E-B928-4828EC80EAE2}"/>
            </c:ext>
          </c:extLst>
        </c:ser>
        <c:dLbls>
          <c:showLegendKey val="0"/>
          <c:showVal val="0"/>
          <c:showCatName val="0"/>
          <c:showSerName val="0"/>
          <c:showPercent val="0"/>
          <c:showBubbleSize val="0"/>
        </c:dLbls>
        <c:smooth val="0"/>
        <c:axId val="1445503472"/>
        <c:axId val="1922904592"/>
      </c:lineChart>
      <c:catAx>
        <c:axId val="144550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922904592"/>
        <c:crosses val="autoZero"/>
        <c:auto val="1"/>
        <c:lblAlgn val="ctr"/>
        <c:lblOffset val="100"/>
        <c:noMultiLvlLbl val="0"/>
      </c:catAx>
      <c:valAx>
        <c:axId val="19229045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44550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[XYZP Hospitality Revenue Performance Dashboard.xlsx.xlsx]Contribution_Pivot!PivotTable11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Contribution By </a:t>
            </a:r>
            <a:r>
              <a:rPr lang="en-US"/>
              <a:t>Business</a:t>
            </a:r>
            <a:r>
              <a:rPr lang="en-US" baseline="0"/>
              <a:t>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871CF50-85EF-4FD5-84B2-BE57BD707A6F}" type="CELLRANGE">
                  <a:rPr lang="en-US"/>
                  <a:pPr>
                    <a:defRPr/>
                  </a:pPr>
                  <a:t>[CELLRANGE]</a:t>
                </a:fld>
                <a:endParaRPr lang="en-US"/>
              </a:p>
            </c:rich>
          </c:tx>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263AAC9-733B-4C35-9E31-8DF5B29AC844}" type="CELLRANGE">
                  <a:rPr lang="en-US"/>
                  <a:pPr>
                    <a:defRPr/>
                  </a:pPr>
                  <a:t>[CELLRANGE]</a:t>
                </a:fld>
                <a:endParaRPr lang="en-US"/>
              </a:p>
            </c:rich>
          </c:tx>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7CEB9B0-CEA6-48A9-AF20-2D80E9150943}" type="CELLRANGE">
                  <a:rPr lang="en-US"/>
                  <a:pPr>
                    <a:defRPr/>
                  </a:pPr>
                  <a:t>[CELLRANGE]</a:t>
                </a:fld>
                <a:endParaRPr lang="en-US"/>
              </a:p>
            </c:rich>
          </c:tx>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0BAC79A-70DB-4144-9B66-619361219165}" type="CELLRANGE">
                  <a:rPr lang="en-US"/>
                  <a:pPr>
                    <a:defRPr/>
                  </a:pPr>
                  <a:t>[CELLRANGE]</a:t>
                </a:fld>
                <a:endParaRPr lang="en-US"/>
              </a:p>
            </c:rich>
          </c:tx>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Contribution_Pivot!$C$4:$C$7</c:f>
              <c:strCache>
                <c:ptCount val="1"/>
                <c:pt idx="0">
                  <c:v>Total</c:v>
                </c:pt>
              </c:strCache>
            </c:strRef>
          </c:tx>
          <c:spPr>
            <a:solidFill>
              <a:schemeClr val="accent1"/>
            </a:solidFill>
            <a:ln>
              <a:noFill/>
            </a:ln>
            <a:effectLst/>
          </c:spPr>
          <c:invertIfNegative val="0"/>
          <c:dLbls>
            <c:dLbl>
              <c:idx val="0"/>
              <c:tx>
                <c:rich>
                  <a:bodyPr/>
                  <a:lstStyle/>
                  <a:p>
                    <a:fld id="{9871CF50-85EF-4FD5-84B2-BE57BD707A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124-4CE2-911F-357269B5AA38}"/>
                </c:ext>
              </c:extLst>
            </c:dLbl>
            <c:dLbl>
              <c:idx val="1"/>
              <c:tx>
                <c:rich>
                  <a:bodyPr/>
                  <a:lstStyle/>
                  <a:p>
                    <a:fld id="{F263AAC9-733B-4C35-9E31-8DF5B29AC8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124-4CE2-911F-357269B5AA38}"/>
                </c:ext>
              </c:extLst>
            </c:dLbl>
            <c:dLbl>
              <c:idx val="2"/>
              <c:tx>
                <c:rich>
                  <a:bodyPr/>
                  <a:lstStyle/>
                  <a:p>
                    <a:fld id="{A7CEB9B0-CEA6-48A9-AF20-2D80E915094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124-4CE2-911F-357269B5AA38}"/>
                </c:ext>
              </c:extLst>
            </c:dLbl>
            <c:dLbl>
              <c:idx val="3"/>
              <c:tx>
                <c:rich>
                  <a:bodyPr/>
                  <a:lstStyle/>
                  <a:p>
                    <a:fld id="{B0BAC79A-70DB-4144-9B66-6193612191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124-4CE2-911F-357269B5AA38}"/>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Contribution_Pivot!$C$4:$C$7</c:f>
              <c:strCache>
                <c:ptCount val="4"/>
                <c:pt idx="0">
                  <c:v> Room Sales</c:v>
                </c:pt>
                <c:pt idx="1">
                  <c:v> Food Sales</c:v>
                </c:pt>
                <c:pt idx="2">
                  <c:v> Beverage Sales</c:v>
                </c:pt>
                <c:pt idx="3">
                  <c:v> Sundry Sales</c:v>
                </c:pt>
              </c:strCache>
            </c:strRef>
          </c:cat>
          <c:val>
            <c:numRef>
              <c:f>Contribution_Pivot!$C$4:$C$7</c:f>
              <c:numCache>
                <c:formatCode>#,##0.00</c:formatCode>
                <c:ptCount val="4"/>
                <c:pt idx="0">
                  <c:v>99896869</c:v>
                </c:pt>
                <c:pt idx="1">
                  <c:v>89749150</c:v>
                </c:pt>
                <c:pt idx="2">
                  <c:v>63169500</c:v>
                </c:pt>
                <c:pt idx="3">
                  <c:v>26347400</c:v>
                </c:pt>
              </c:numCache>
            </c:numRef>
          </c:val>
          <c:extLst>
            <c:ext xmlns:c15="http://schemas.microsoft.com/office/drawing/2012/chart" uri="{02D57815-91ED-43cb-92C2-25804820EDAC}">
              <c15:datalabelsRange>
                <c15:f>Contribution_Pivot!$C$4:$C$7</c15:f>
                <c15:dlblRangeCache>
                  <c:ptCount val="4"/>
                  <c:pt idx="0">
                    <c:v>₦99.9M</c:v>
                  </c:pt>
                  <c:pt idx="1">
                    <c:v>₦89.7M</c:v>
                  </c:pt>
                  <c:pt idx="2">
                    <c:v>₦63.2M</c:v>
                  </c:pt>
                  <c:pt idx="3">
                    <c:v>₦26.3M</c:v>
                  </c:pt>
                </c15:dlblRangeCache>
              </c15:datalabelsRange>
            </c:ext>
            <c:ext xmlns:c16="http://schemas.microsoft.com/office/drawing/2014/chart" uri="{C3380CC4-5D6E-409C-BE32-E72D297353CC}">
              <c16:uniqueId val="{00000000-9124-4CE2-911F-357269B5AA38}"/>
            </c:ext>
          </c:extLst>
        </c:ser>
        <c:dLbls>
          <c:showLegendKey val="0"/>
          <c:showVal val="1"/>
          <c:showCatName val="0"/>
          <c:showSerName val="0"/>
          <c:showPercent val="0"/>
          <c:showBubbleSize val="0"/>
        </c:dLbls>
        <c:gapWidth val="219"/>
        <c:overlap val="-27"/>
        <c:axId val="1554429888"/>
        <c:axId val="1445294960"/>
      </c:barChart>
      <c:catAx>
        <c:axId val="155442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45294960"/>
        <c:crosses val="autoZero"/>
        <c:auto val="1"/>
        <c:lblAlgn val="ctr"/>
        <c:lblOffset val="100"/>
        <c:noMultiLvlLbl val="0"/>
      </c:catAx>
      <c:valAx>
        <c:axId val="144529496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554429888"/>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[XYZP Hospitality Revenue Performance Dashboard.xlsx.xlsx]Revenue_Pivot!PivotTable4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Revenue_Pivot!$B$3</c:f>
              <c:strCache>
                <c:ptCount val="1"/>
                <c:pt idx="0">
                  <c:v>Total</c:v>
                </c:pt>
              </c:strCache>
            </c:strRef>
          </c:tx>
          <c:spPr>
            <a:ln w="28575" cap="rnd">
              <a:solidFill>
                <a:schemeClr val="accent1"/>
              </a:solidFill>
              <a:round/>
            </a:ln>
            <a:effectLst/>
          </c:spPr>
          <c:marker>
            <c:symbol val="none"/>
          </c:marker>
          <c:cat>
            <c:strRef>
              <c:f>Revenue_Pivot!$A$4:$A$10</c:f>
              <c:strCache>
                <c:ptCount val="6"/>
                <c:pt idx="0">
                  <c:v>Jan</c:v>
                </c:pt>
                <c:pt idx="1">
                  <c:v>Feb</c:v>
                </c:pt>
                <c:pt idx="2">
                  <c:v>Mar</c:v>
                </c:pt>
                <c:pt idx="3">
                  <c:v>Apr</c:v>
                </c:pt>
                <c:pt idx="4">
                  <c:v>May</c:v>
                </c:pt>
                <c:pt idx="5">
                  <c:v>Jun</c:v>
                </c:pt>
              </c:strCache>
            </c:strRef>
          </c:cat>
          <c:val>
            <c:numRef>
              <c:f>Revenue_Pivot!$B$4:$B$10</c:f>
              <c:numCache>
                <c:formatCode>#,##0.00</c:formatCode>
                <c:ptCount val="6"/>
                <c:pt idx="0">
                  <c:v>42928970</c:v>
                </c:pt>
                <c:pt idx="1">
                  <c:v>38386923</c:v>
                </c:pt>
                <c:pt idx="2">
                  <c:v>54996331</c:v>
                </c:pt>
                <c:pt idx="3">
                  <c:v>56149185</c:v>
                </c:pt>
                <c:pt idx="4">
                  <c:v>49045826</c:v>
                </c:pt>
                <c:pt idx="5">
                  <c:v>34113484</c:v>
                </c:pt>
              </c:numCache>
            </c:numRef>
          </c:val>
          <c:smooth val="0"/>
          <c:extLst>
            <c:ext xmlns:c16="http://schemas.microsoft.com/office/drawing/2014/chart" uri="{C3380CC4-5D6E-409C-BE32-E72D297353CC}">
              <c16:uniqueId val="{00000000-637F-4F36-ADDB-FAD1C0A944DB}"/>
            </c:ext>
          </c:extLst>
        </c:ser>
        <c:dLbls>
          <c:showLegendKey val="0"/>
          <c:showVal val="0"/>
          <c:showCatName val="0"/>
          <c:showSerName val="0"/>
          <c:showPercent val="0"/>
          <c:showBubbleSize val="0"/>
        </c:dLbls>
        <c:smooth val="0"/>
        <c:axId val="1052173616"/>
        <c:axId val="1061784976"/>
      </c:lineChart>
      <c:catAx>
        <c:axId val="105217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61784976"/>
        <c:crosses val="autoZero"/>
        <c:auto val="1"/>
        <c:lblAlgn val="ctr"/>
        <c:lblOffset val="100"/>
        <c:noMultiLvlLbl val="0"/>
      </c:catAx>
      <c:valAx>
        <c:axId val="1061784976"/>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52173616"/>
        <c:crosses val="autoZero"/>
        <c:crossBetween val="between"/>
        <c:dispUnits>
          <c:builtInUnit val="millions"/>
          <c:dispUnitsLbl>
            <c:layout>
              <c:manualLayout>
                <c:xMode val="edge"/>
                <c:yMode val="edge"/>
                <c:x val="3.0555555555555555E-2"/>
                <c:y val="0.24729148439778362"/>
              </c:manualLayout>
            </c:layout>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dispUnitsLbl>
        </c:dispUnits>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[XYZP Hospitality Revenue Performance Dashboard.xlsx.xlsx]Occupancy_Pivot!PivotTable3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Room</a:t>
            </a:r>
            <a:r>
              <a:rPr lang="en-US" baseline="0"/>
              <a:t> Occupancy Rate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Occupancy_Pivot!$B$3</c:f>
              <c:strCache>
                <c:ptCount val="1"/>
                <c:pt idx="0">
                  <c:v>Total</c:v>
                </c:pt>
              </c:strCache>
            </c:strRef>
          </c:tx>
          <c:spPr>
            <a:ln w="28575" cap="rnd">
              <a:solidFill>
                <a:schemeClr val="accent1"/>
              </a:solidFill>
              <a:round/>
            </a:ln>
            <a:effectLst/>
          </c:spPr>
          <c:marker>
            <c:symbol val="none"/>
          </c:marker>
          <c:cat>
            <c:strRef>
              <c:f>Occupancy_Pivot!$A$4:$A$9</c:f>
              <c:strCache>
                <c:ptCount val="6"/>
                <c:pt idx="0">
                  <c:v>Jan</c:v>
                </c:pt>
                <c:pt idx="1">
                  <c:v>Feb</c:v>
                </c:pt>
                <c:pt idx="2">
                  <c:v>Mar</c:v>
                </c:pt>
                <c:pt idx="3">
                  <c:v>Apr</c:v>
                </c:pt>
                <c:pt idx="4">
                  <c:v>May</c:v>
                </c:pt>
                <c:pt idx="5">
                  <c:v>Jun</c:v>
                </c:pt>
              </c:strCache>
            </c:strRef>
          </c:cat>
          <c:val>
            <c:numRef>
              <c:f>Occupancy_Pivot!$B$4:$B$9</c:f>
              <c:numCache>
                <c:formatCode>0%</c:formatCode>
                <c:ptCount val="6"/>
                <c:pt idx="0">
                  <c:v>0.28000000000000003</c:v>
                </c:pt>
                <c:pt idx="1">
                  <c:v>0.33</c:v>
                </c:pt>
                <c:pt idx="2">
                  <c:v>0.45</c:v>
                </c:pt>
                <c:pt idx="3">
                  <c:v>0.61</c:v>
                </c:pt>
                <c:pt idx="4">
                  <c:v>0.41</c:v>
                </c:pt>
                <c:pt idx="5">
                  <c:v>0.32</c:v>
                </c:pt>
              </c:numCache>
            </c:numRef>
          </c:val>
          <c:smooth val="0"/>
          <c:extLst>
            <c:ext xmlns:c16="http://schemas.microsoft.com/office/drawing/2014/chart" uri="{C3380CC4-5D6E-409C-BE32-E72D297353CC}">
              <c16:uniqueId val="{00000000-DF96-4AE2-A8DF-4E691B985581}"/>
            </c:ext>
          </c:extLst>
        </c:ser>
        <c:dLbls>
          <c:showLegendKey val="0"/>
          <c:showVal val="0"/>
          <c:showCatName val="0"/>
          <c:showSerName val="0"/>
          <c:showPercent val="0"/>
          <c:showBubbleSize val="0"/>
        </c:dLbls>
        <c:smooth val="0"/>
        <c:axId val="1445503472"/>
        <c:axId val="1922904592"/>
      </c:lineChart>
      <c:catAx>
        <c:axId val="144550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904592"/>
        <c:crosses val="autoZero"/>
        <c:auto val="1"/>
        <c:lblAlgn val="ctr"/>
        <c:lblOffset val="100"/>
        <c:noMultiLvlLbl val="0"/>
      </c:catAx>
      <c:valAx>
        <c:axId val="19229045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50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[XYZP Hospitality Revenue Performance Dashboard.xlsx.xlsx]Performance_Pivot!PivotTable1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Business Unit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Performance_Pivot!$B$3</c:f>
              <c:strCache>
                <c:ptCount val="1"/>
                <c:pt idx="0">
                  <c:v>Sum of Room Sales</c:v>
                </c:pt>
              </c:strCache>
            </c:strRef>
          </c:tx>
          <c:spPr>
            <a:solidFill>
              <a:schemeClr val="accent1"/>
            </a:solidFill>
            <a:ln>
              <a:noFill/>
            </a:ln>
            <a:effectLst/>
          </c:spPr>
          <c:invertIfNegative val="0"/>
          <c:cat>
            <c:strRef>
              <c:f>Performance_Pivot!$A$4:$A$10</c:f>
              <c:strCache>
                <c:ptCount val="6"/>
                <c:pt idx="0">
                  <c:v>Jan</c:v>
                </c:pt>
                <c:pt idx="1">
                  <c:v>Feb</c:v>
                </c:pt>
                <c:pt idx="2">
                  <c:v>Mar</c:v>
                </c:pt>
                <c:pt idx="3">
                  <c:v>Apr</c:v>
                </c:pt>
                <c:pt idx="4">
                  <c:v>May</c:v>
                </c:pt>
                <c:pt idx="5">
                  <c:v>Jun</c:v>
                </c:pt>
              </c:strCache>
            </c:strRef>
          </c:cat>
          <c:val>
            <c:numRef>
              <c:f>Performance_Pivot!$B$4:$B$10</c:f>
              <c:numCache>
                <c:formatCode>#,##0.00</c:formatCode>
                <c:ptCount val="6"/>
                <c:pt idx="0">
                  <c:v>12631970</c:v>
                </c:pt>
                <c:pt idx="1">
                  <c:v>12660923</c:v>
                </c:pt>
                <c:pt idx="2">
                  <c:v>21419981</c:v>
                </c:pt>
                <c:pt idx="3">
                  <c:v>25529485</c:v>
                </c:pt>
                <c:pt idx="4">
                  <c:v>16682226</c:v>
                </c:pt>
                <c:pt idx="5">
                  <c:v>10972284</c:v>
                </c:pt>
              </c:numCache>
            </c:numRef>
          </c:val>
          <c:extLst>
            <c:ext xmlns:c16="http://schemas.microsoft.com/office/drawing/2014/chart" uri="{C3380CC4-5D6E-409C-BE32-E72D297353CC}">
              <c16:uniqueId val="{00000000-D7A0-44EB-B096-906E70862B1F}"/>
            </c:ext>
          </c:extLst>
        </c:ser>
        <c:ser>
          <c:idx val="1"/>
          <c:order val="1"/>
          <c:tx>
            <c:strRef>
              <c:f>Performance_Pivot!$C$3</c:f>
              <c:strCache>
                <c:ptCount val="1"/>
                <c:pt idx="0">
                  <c:v>Sum of Food Sales</c:v>
                </c:pt>
              </c:strCache>
            </c:strRef>
          </c:tx>
          <c:spPr>
            <a:solidFill>
              <a:schemeClr val="accent2"/>
            </a:solidFill>
            <a:ln>
              <a:noFill/>
            </a:ln>
            <a:effectLst/>
          </c:spPr>
          <c:invertIfNegative val="0"/>
          <c:cat>
            <c:strRef>
              <c:f>Performance_Pivot!$A$4:$A$10</c:f>
              <c:strCache>
                <c:ptCount val="6"/>
                <c:pt idx="0">
                  <c:v>Jan</c:v>
                </c:pt>
                <c:pt idx="1">
                  <c:v>Feb</c:v>
                </c:pt>
                <c:pt idx="2">
                  <c:v>Mar</c:v>
                </c:pt>
                <c:pt idx="3">
                  <c:v>Apr</c:v>
                </c:pt>
                <c:pt idx="4">
                  <c:v>May</c:v>
                </c:pt>
                <c:pt idx="5">
                  <c:v>Jun</c:v>
                </c:pt>
              </c:strCache>
            </c:strRef>
          </c:cat>
          <c:val>
            <c:numRef>
              <c:f>Performance_Pivot!$C$4:$C$10</c:f>
              <c:numCache>
                <c:formatCode>#,##0.00</c:formatCode>
                <c:ptCount val="6"/>
                <c:pt idx="0">
                  <c:v>13383500</c:v>
                </c:pt>
                <c:pt idx="1">
                  <c:v>12902700</c:v>
                </c:pt>
                <c:pt idx="2">
                  <c:v>18584550</c:v>
                </c:pt>
                <c:pt idx="3">
                  <c:v>16074500</c:v>
                </c:pt>
                <c:pt idx="4">
                  <c:v>16924700</c:v>
                </c:pt>
                <c:pt idx="5">
                  <c:v>11879200</c:v>
                </c:pt>
              </c:numCache>
            </c:numRef>
          </c:val>
          <c:extLst>
            <c:ext xmlns:c16="http://schemas.microsoft.com/office/drawing/2014/chart" uri="{C3380CC4-5D6E-409C-BE32-E72D297353CC}">
              <c16:uniqueId val="{00000001-D7A0-44EB-B096-906E70862B1F}"/>
            </c:ext>
          </c:extLst>
        </c:ser>
        <c:ser>
          <c:idx val="2"/>
          <c:order val="2"/>
          <c:tx>
            <c:strRef>
              <c:f>Performance_Pivot!$D$3</c:f>
              <c:strCache>
                <c:ptCount val="1"/>
                <c:pt idx="0">
                  <c:v>Sum of Beverage Sales</c:v>
                </c:pt>
              </c:strCache>
            </c:strRef>
          </c:tx>
          <c:spPr>
            <a:solidFill>
              <a:schemeClr val="accent3"/>
            </a:solidFill>
            <a:ln>
              <a:noFill/>
            </a:ln>
            <a:effectLst/>
          </c:spPr>
          <c:invertIfNegative val="0"/>
          <c:cat>
            <c:strRef>
              <c:f>Performance_Pivot!$A$4:$A$10</c:f>
              <c:strCache>
                <c:ptCount val="6"/>
                <c:pt idx="0">
                  <c:v>Jan</c:v>
                </c:pt>
                <c:pt idx="1">
                  <c:v>Feb</c:v>
                </c:pt>
                <c:pt idx="2">
                  <c:v>Mar</c:v>
                </c:pt>
                <c:pt idx="3">
                  <c:v>Apr</c:v>
                </c:pt>
                <c:pt idx="4">
                  <c:v>May</c:v>
                </c:pt>
                <c:pt idx="5">
                  <c:v>Jun</c:v>
                </c:pt>
              </c:strCache>
            </c:strRef>
          </c:cat>
          <c:val>
            <c:numRef>
              <c:f>Performance_Pivot!$D$4:$D$10</c:f>
              <c:numCache>
                <c:formatCode>#,##0.00</c:formatCode>
                <c:ptCount val="6"/>
                <c:pt idx="0">
                  <c:v>12008000</c:v>
                </c:pt>
                <c:pt idx="1">
                  <c:v>8720000</c:v>
                </c:pt>
                <c:pt idx="2">
                  <c:v>9905500</c:v>
                </c:pt>
                <c:pt idx="3">
                  <c:v>9953800</c:v>
                </c:pt>
                <c:pt idx="4">
                  <c:v>10703000</c:v>
                </c:pt>
                <c:pt idx="5">
                  <c:v>11879200</c:v>
                </c:pt>
              </c:numCache>
            </c:numRef>
          </c:val>
          <c:extLst>
            <c:ext xmlns:c16="http://schemas.microsoft.com/office/drawing/2014/chart" uri="{C3380CC4-5D6E-409C-BE32-E72D297353CC}">
              <c16:uniqueId val="{00000002-D7A0-44EB-B096-906E70862B1F}"/>
            </c:ext>
          </c:extLst>
        </c:ser>
        <c:ser>
          <c:idx val="3"/>
          <c:order val="3"/>
          <c:tx>
            <c:strRef>
              <c:f>Performance_Pivot!$E$3</c:f>
              <c:strCache>
                <c:ptCount val="1"/>
                <c:pt idx="0">
                  <c:v>Sum of Sundry Sales</c:v>
                </c:pt>
              </c:strCache>
            </c:strRef>
          </c:tx>
          <c:spPr>
            <a:solidFill>
              <a:schemeClr val="accent4"/>
            </a:solidFill>
            <a:ln>
              <a:noFill/>
            </a:ln>
            <a:effectLst/>
          </c:spPr>
          <c:invertIfNegative val="0"/>
          <c:cat>
            <c:strRef>
              <c:f>Performance_Pivot!$A$4:$A$10</c:f>
              <c:strCache>
                <c:ptCount val="6"/>
                <c:pt idx="0">
                  <c:v>Jan</c:v>
                </c:pt>
                <c:pt idx="1">
                  <c:v>Feb</c:v>
                </c:pt>
                <c:pt idx="2">
                  <c:v>Mar</c:v>
                </c:pt>
                <c:pt idx="3">
                  <c:v>Apr</c:v>
                </c:pt>
                <c:pt idx="4">
                  <c:v>May</c:v>
                </c:pt>
                <c:pt idx="5">
                  <c:v>Jun</c:v>
                </c:pt>
              </c:strCache>
            </c:strRef>
          </c:cat>
          <c:val>
            <c:numRef>
              <c:f>Performance_Pivot!$E$4:$E$10</c:f>
              <c:numCache>
                <c:formatCode>#,##0.00</c:formatCode>
                <c:ptCount val="6"/>
                <c:pt idx="0">
                  <c:v>4905500</c:v>
                </c:pt>
                <c:pt idx="1">
                  <c:v>4103300</c:v>
                </c:pt>
                <c:pt idx="2">
                  <c:v>5086300</c:v>
                </c:pt>
                <c:pt idx="3">
                  <c:v>4591400</c:v>
                </c:pt>
                <c:pt idx="4">
                  <c:v>4735900</c:v>
                </c:pt>
                <c:pt idx="5">
                  <c:v>2925000</c:v>
                </c:pt>
              </c:numCache>
            </c:numRef>
          </c:val>
          <c:extLst>
            <c:ext xmlns:c16="http://schemas.microsoft.com/office/drawing/2014/chart" uri="{C3380CC4-5D6E-409C-BE32-E72D297353CC}">
              <c16:uniqueId val="{00000003-D7A0-44EB-B096-906E70862B1F}"/>
            </c:ext>
          </c:extLst>
        </c:ser>
        <c:dLbls>
          <c:showLegendKey val="0"/>
          <c:showVal val="0"/>
          <c:showCatName val="0"/>
          <c:showSerName val="0"/>
          <c:showPercent val="0"/>
          <c:showBubbleSize val="0"/>
        </c:dLbls>
        <c:gapWidth val="219"/>
        <c:overlap val="-27"/>
        <c:axId val="1698936848"/>
        <c:axId val="1447876816"/>
      </c:barChart>
      <c:catAx>
        <c:axId val="169893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47876816"/>
        <c:crosses val="autoZero"/>
        <c:auto val="1"/>
        <c:lblAlgn val="ctr"/>
        <c:lblOffset val="100"/>
        <c:noMultiLvlLbl val="0"/>
      </c:catAx>
      <c:valAx>
        <c:axId val="1447876816"/>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98936848"/>
        <c:crosses val="autoZero"/>
        <c:crossBetween val="between"/>
        <c:dispUnits>
          <c:builtInUnit val="millions"/>
          <c:dispUnitsLbl>
            <c:layout>
              <c:manualLayout>
                <c:xMode val="edge"/>
                <c:yMode val="edge"/>
                <c:x val="1.9159123983837276E-2"/>
                <c:y val="0.36266209298095164"/>
              </c:manualLayout>
            </c:layout>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dispUnitsLbl>
        </c:dispUnits>
      </c:val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787698</xdr:colOff>
      <xdr:row>2</xdr:row>
      <xdr:rowOff>236152</xdr:rowOff>
    </xdr:from>
    <xdr:to>
      <xdr:col>3</xdr:col>
      <xdr:colOff>802938</xdr:colOff>
      <xdr:row>4</xdr:row>
      <xdr:rowOff>120167</xdr:rowOff>
    </xdr:to>
    <xdr:sp macro="" textlink="">
      <xdr:nvSpPr>
        <xdr:cNvPr id="2" name="Rectangle: Rounded Corners 1">
          <a:extLst>
            <a:ext uri="{FF2B5EF4-FFF2-40B4-BE49-F238E27FC236}">
              <a16:creationId xmlns:a16="http://schemas.microsoft.com/office/drawing/2014/main" id="{76AC6D8D-1E91-490E-A063-65AD489ABCA3}"/>
            </a:ext>
          </a:extLst>
        </xdr:cNvPr>
        <xdr:cNvSpPr/>
      </xdr:nvSpPr>
      <xdr:spPr>
        <a:xfrm>
          <a:off x="787698" y="1129121"/>
          <a:ext cx="3289459" cy="77698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cap="none" spc="0">
              <a:ln w="0"/>
              <a:solidFill>
                <a:schemeClr val="tx1"/>
              </a:solidFill>
              <a:effectLst>
                <a:outerShdw blurRad="38100" dist="19050" dir="2700000" algn="tl" rotWithShape="0">
                  <a:schemeClr val="dk1">
                    <a:alpha val="40000"/>
                  </a:schemeClr>
                </a:outerShdw>
              </a:effectLst>
            </a:rPr>
            <a:t>Total</a:t>
          </a:r>
          <a:r>
            <a:rPr lang="en-US" sz="1400" b="1" cap="none" spc="0" baseline="0">
              <a:ln w="0"/>
              <a:solidFill>
                <a:schemeClr val="tx1"/>
              </a:solidFill>
              <a:effectLst>
                <a:outerShdw blurRad="38100" dist="19050" dir="2700000" algn="tl" rotWithShape="0">
                  <a:schemeClr val="dk1">
                    <a:alpha val="40000"/>
                  </a:schemeClr>
                </a:outerShdw>
              </a:effectLst>
            </a:rPr>
            <a:t> Revenue</a:t>
          </a:r>
        </a:p>
        <a:p>
          <a:pPr algn="ctr"/>
          <a:r>
            <a:rPr lang="en-US" sz="2000" b="1" cap="none" spc="0" baseline="0">
              <a:ln w="0"/>
              <a:solidFill>
                <a:schemeClr val="accent1">
                  <a:lumMod val="75000"/>
                </a:schemeClr>
              </a:solidFill>
              <a:effectLst>
                <a:outerShdw blurRad="38100" dist="19050" dir="2700000" algn="tl" rotWithShape="0">
                  <a:schemeClr val="dk1">
                    <a:alpha val="40000"/>
                  </a:schemeClr>
                </a:outerShdw>
              </a:effectLst>
            </a:rPr>
            <a:t>#275.6M</a:t>
          </a:r>
          <a:endParaRPr lang="en-US" sz="2000" b="1" cap="none" spc="0">
            <a:ln w="0"/>
            <a:solidFill>
              <a:schemeClr val="accent1">
                <a:lumMod val="75000"/>
              </a:schemeClr>
            </a:solidFill>
            <a:effectLst>
              <a:outerShdw blurRad="38100" dist="19050" dir="2700000" algn="tl" rotWithShape="0">
                <a:schemeClr val="dk1">
                  <a:alpha val="40000"/>
                </a:schemeClr>
              </a:outerShdw>
            </a:effectLst>
          </a:endParaRPr>
        </a:p>
      </xdr:txBody>
    </xdr:sp>
    <xdr:clientData/>
  </xdr:twoCellAnchor>
  <xdr:twoCellAnchor>
    <xdr:from>
      <xdr:col>4</xdr:col>
      <xdr:colOff>184977</xdr:colOff>
      <xdr:row>2</xdr:row>
      <xdr:rowOff>236152</xdr:rowOff>
    </xdr:from>
    <xdr:to>
      <xdr:col>7</xdr:col>
      <xdr:colOff>200217</xdr:colOff>
      <xdr:row>4</xdr:row>
      <xdr:rowOff>119689</xdr:rowOff>
    </xdr:to>
    <xdr:sp macro="" textlink="">
      <xdr:nvSpPr>
        <xdr:cNvPr id="3" name="Rectangle: Rounded Corners 2">
          <a:extLst>
            <a:ext uri="{FF2B5EF4-FFF2-40B4-BE49-F238E27FC236}">
              <a16:creationId xmlns:a16="http://schemas.microsoft.com/office/drawing/2014/main" id="{B5AD01AE-6FFE-449E-9E98-8B4A884C1DB4}"/>
            </a:ext>
          </a:extLst>
        </xdr:cNvPr>
        <xdr:cNvSpPr/>
      </xdr:nvSpPr>
      <xdr:spPr>
        <a:xfrm>
          <a:off x="4550602" y="1129121"/>
          <a:ext cx="3289459" cy="77650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cap="none" spc="0">
              <a:ln w="0"/>
              <a:solidFill>
                <a:schemeClr val="tx1"/>
              </a:solidFill>
              <a:effectLst>
                <a:outerShdw blurRad="38100" dist="19050" dir="2700000" algn="tl" rotWithShape="0">
                  <a:schemeClr val="dk1">
                    <a:alpha val="40000"/>
                  </a:schemeClr>
                </a:outerShdw>
              </a:effectLst>
            </a:rPr>
            <a:t>Total</a:t>
          </a:r>
          <a:r>
            <a:rPr lang="en-US" sz="1400" b="1" cap="none" spc="0" baseline="0">
              <a:ln w="0"/>
              <a:solidFill>
                <a:schemeClr val="tx1"/>
              </a:solidFill>
              <a:effectLst>
                <a:outerShdw blurRad="38100" dist="19050" dir="2700000" algn="tl" rotWithShape="0">
                  <a:schemeClr val="dk1">
                    <a:alpha val="40000"/>
                  </a:schemeClr>
                </a:outerShdw>
              </a:effectLst>
            </a:rPr>
            <a:t> Room Sales</a:t>
          </a:r>
        </a:p>
        <a:p>
          <a:pPr algn="ctr"/>
          <a:r>
            <a:rPr lang="en-US" sz="2000" b="1" cap="none" spc="0" baseline="0">
              <a:ln w="0"/>
              <a:solidFill>
                <a:schemeClr val="accent2">
                  <a:lumMod val="75000"/>
                </a:schemeClr>
              </a:solidFill>
              <a:effectLst>
                <a:outerShdw blurRad="38100" dist="19050" dir="2700000" algn="tl" rotWithShape="0">
                  <a:schemeClr val="dk1">
                    <a:alpha val="40000"/>
                  </a:schemeClr>
                </a:outerShdw>
              </a:effectLst>
            </a:rPr>
            <a:t>#99.9M</a:t>
          </a:r>
          <a:endParaRPr lang="en-US" sz="2000" b="1" cap="none" spc="0">
            <a:ln w="0"/>
            <a:solidFill>
              <a:schemeClr val="accent2">
                <a:lumMod val="75000"/>
              </a:schemeClr>
            </a:solidFill>
            <a:effectLst>
              <a:outerShdw blurRad="38100" dist="19050" dir="2700000" algn="tl" rotWithShape="0">
                <a:schemeClr val="dk1">
                  <a:alpha val="40000"/>
                </a:schemeClr>
              </a:outerShdw>
            </a:effectLst>
          </a:endParaRPr>
        </a:p>
      </xdr:txBody>
    </xdr:sp>
    <xdr:clientData/>
  </xdr:twoCellAnchor>
  <xdr:twoCellAnchor>
    <xdr:from>
      <xdr:col>7</xdr:col>
      <xdr:colOff>688347</xdr:colOff>
      <xdr:row>2</xdr:row>
      <xdr:rowOff>236152</xdr:rowOff>
    </xdr:from>
    <xdr:to>
      <xdr:col>10</xdr:col>
      <xdr:colOff>703587</xdr:colOff>
      <xdr:row>4</xdr:row>
      <xdr:rowOff>119689</xdr:rowOff>
    </xdr:to>
    <xdr:sp macro="" textlink="">
      <xdr:nvSpPr>
        <xdr:cNvPr id="4" name="Rectangle: Rounded Corners 3">
          <a:extLst>
            <a:ext uri="{FF2B5EF4-FFF2-40B4-BE49-F238E27FC236}">
              <a16:creationId xmlns:a16="http://schemas.microsoft.com/office/drawing/2014/main" id="{5A94BF34-8963-411B-BBB6-31D4CB5DAD78}"/>
            </a:ext>
          </a:extLst>
        </xdr:cNvPr>
        <xdr:cNvSpPr/>
      </xdr:nvSpPr>
      <xdr:spPr>
        <a:xfrm>
          <a:off x="8328191" y="1129121"/>
          <a:ext cx="3289459" cy="77650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cap="none" spc="0">
              <a:ln w="0"/>
              <a:solidFill>
                <a:schemeClr val="tx1"/>
              </a:solidFill>
              <a:effectLst>
                <a:outerShdw blurRad="38100" dist="19050" dir="2700000" algn="tl" rotWithShape="0">
                  <a:schemeClr val="dk1">
                    <a:alpha val="40000"/>
                  </a:schemeClr>
                </a:outerShdw>
              </a:effectLst>
            </a:rPr>
            <a:t>Total</a:t>
          </a:r>
          <a:r>
            <a:rPr lang="en-US" sz="1400" b="1" cap="none" spc="0" baseline="0">
              <a:ln w="0"/>
              <a:solidFill>
                <a:schemeClr val="tx1"/>
              </a:solidFill>
              <a:effectLst>
                <a:outerShdw blurRad="38100" dist="19050" dir="2700000" algn="tl" rotWithShape="0">
                  <a:schemeClr val="dk1">
                    <a:alpha val="40000"/>
                  </a:schemeClr>
                </a:outerShdw>
              </a:effectLst>
            </a:rPr>
            <a:t> Food Sales</a:t>
          </a:r>
        </a:p>
        <a:p>
          <a:pPr algn="ctr"/>
          <a:r>
            <a:rPr lang="en-US" sz="2000" b="1" cap="none" spc="0" baseline="0">
              <a:ln w="0"/>
              <a:solidFill>
                <a:schemeClr val="accent1">
                  <a:lumMod val="75000"/>
                </a:schemeClr>
              </a:solidFill>
              <a:effectLst>
                <a:outerShdw blurRad="38100" dist="19050" dir="2700000" algn="tl" rotWithShape="0">
                  <a:schemeClr val="dk1">
                    <a:alpha val="40000"/>
                  </a:schemeClr>
                </a:outerShdw>
              </a:effectLst>
            </a:rPr>
            <a:t>#89.7M</a:t>
          </a:r>
          <a:endParaRPr lang="en-US" sz="2000" b="1" cap="none" spc="0">
            <a:ln w="0"/>
            <a:solidFill>
              <a:schemeClr val="accent1">
                <a:lumMod val="75000"/>
              </a:schemeClr>
            </a:solidFill>
            <a:effectLst>
              <a:outerShdw blurRad="38100" dist="19050" dir="2700000" algn="tl" rotWithShape="0">
                <a:schemeClr val="dk1">
                  <a:alpha val="40000"/>
                </a:schemeClr>
              </a:outerShdw>
            </a:effectLst>
          </a:endParaRPr>
        </a:p>
      </xdr:txBody>
    </xdr:sp>
    <xdr:clientData/>
  </xdr:twoCellAnchor>
  <xdr:twoCellAnchor>
    <xdr:from>
      <xdr:col>11</xdr:col>
      <xdr:colOff>14152</xdr:colOff>
      <xdr:row>2</xdr:row>
      <xdr:rowOff>236152</xdr:rowOff>
    </xdr:from>
    <xdr:to>
      <xdr:col>14</xdr:col>
      <xdr:colOff>25218</xdr:colOff>
      <xdr:row>4</xdr:row>
      <xdr:rowOff>119689</xdr:rowOff>
    </xdr:to>
    <xdr:sp macro="" textlink="">
      <xdr:nvSpPr>
        <xdr:cNvPr id="5" name="Rectangle: Rounded Corners 4">
          <a:extLst>
            <a:ext uri="{FF2B5EF4-FFF2-40B4-BE49-F238E27FC236}">
              <a16:creationId xmlns:a16="http://schemas.microsoft.com/office/drawing/2014/main" id="{46D1CB87-1808-4ADC-AEB7-DE7AFCC1D3AC}"/>
            </a:ext>
          </a:extLst>
        </xdr:cNvPr>
        <xdr:cNvSpPr/>
      </xdr:nvSpPr>
      <xdr:spPr>
        <a:xfrm>
          <a:off x="12019621" y="1129121"/>
          <a:ext cx="3285285" cy="77650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cap="none" spc="0">
              <a:ln w="0"/>
              <a:solidFill>
                <a:schemeClr val="tx1"/>
              </a:solidFill>
              <a:effectLst>
                <a:outerShdw blurRad="38100" dist="19050" dir="2700000" algn="tl" rotWithShape="0">
                  <a:schemeClr val="dk1">
                    <a:alpha val="40000"/>
                  </a:schemeClr>
                </a:outerShdw>
              </a:effectLst>
            </a:rPr>
            <a:t>Total</a:t>
          </a:r>
          <a:r>
            <a:rPr lang="en-US" sz="1400" b="1" cap="none" spc="0" baseline="0">
              <a:ln w="0"/>
              <a:solidFill>
                <a:schemeClr val="tx1"/>
              </a:solidFill>
              <a:effectLst>
                <a:outerShdw blurRad="38100" dist="19050" dir="2700000" algn="tl" rotWithShape="0">
                  <a:schemeClr val="dk1">
                    <a:alpha val="40000"/>
                  </a:schemeClr>
                </a:outerShdw>
              </a:effectLst>
            </a:rPr>
            <a:t> Beverage Sales</a:t>
          </a:r>
        </a:p>
        <a:p>
          <a:pPr algn="ctr"/>
          <a:r>
            <a:rPr lang="en-US" sz="2400" b="1" cap="none" spc="0" baseline="0">
              <a:ln w="0"/>
              <a:solidFill>
                <a:schemeClr val="accent1">
                  <a:lumMod val="75000"/>
                </a:schemeClr>
              </a:solidFill>
              <a:effectLst>
                <a:outerShdw blurRad="38100" dist="19050" dir="2700000" algn="tl" rotWithShape="0">
                  <a:schemeClr val="dk1">
                    <a:alpha val="40000"/>
                  </a:schemeClr>
                </a:outerShdw>
              </a:effectLst>
            </a:rPr>
            <a:t>#63.2M</a:t>
          </a:r>
          <a:endParaRPr lang="en-US" sz="2400" b="1" cap="none" spc="0">
            <a:ln w="0"/>
            <a:solidFill>
              <a:schemeClr val="accent1">
                <a:lumMod val="75000"/>
              </a:schemeClr>
            </a:solidFill>
            <a:effectLst>
              <a:outerShdw blurRad="38100" dist="19050" dir="2700000" algn="tl" rotWithShape="0">
                <a:schemeClr val="dk1">
                  <a:alpha val="40000"/>
                </a:schemeClr>
              </a:outerShdw>
            </a:effectLst>
          </a:endParaRPr>
        </a:p>
      </xdr:txBody>
    </xdr:sp>
    <xdr:clientData/>
  </xdr:twoCellAnchor>
  <xdr:twoCellAnchor>
    <xdr:from>
      <xdr:col>14</xdr:col>
      <xdr:colOff>371291</xdr:colOff>
      <xdr:row>2</xdr:row>
      <xdr:rowOff>236152</xdr:rowOff>
    </xdr:from>
    <xdr:to>
      <xdr:col>20</xdr:col>
      <xdr:colOff>5531</xdr:colOff>
      <xdr:row>4</xdr:row>
      <xdr:rowOff>119689</xdr:rowOff>
    </xdr:to>
    <xdr:sp macro="" textlink="">
      <xdr:nvSpPr>
        <xdr:cNvPr id="6" name="Rectangle: Rounded Corners 5">
          <a:extLst>
            <a:ext uri="{FF2B5EF4-FFF2-40B4-BE49-F238E27FC236}">
              <a16:creationId xmlns:a16="http://schemas.microsoft.com/office/drawing/2014/main" id="{3180EF6E-B787-4C41-951F-D240468DA579}"/>
            </a:ext>
          </a:extLst>
        </xdr:cNvPr>
        <xdr:cNvSpPr/>
      </xdr:nvSpPr>
      <xdr:spPr>
        <a:xfrm>
          <a:off x="15650979" y="1129121"/>
          <a:ext cx="3265646" cy="77650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cap="none" spc="0">
              <a:ln w="0"/>
              <a:solidFill>
                <a:schemeClr val="tx1"/>
              </a:solidFill>
              <a:effectLst>
                <a:outerShdw blurRad="38100" dist="19050" dir="2700000" algn="tl" rotWithShape="0">
                  <a:schemeClr val="dk1">
                    <a:alpha val="40000"/>
                  </a:schemeClr>
                </a:outerShdw>
              </a:effectLst>
            </a:rPr>
            <a:t>Total</a:t>
          </a:r>
          <a:r>
            <a:rPr lang="en-US" sz="1400" b="1" cap="none" spc="0" baseline="0">
              <a:ln w="0"/>
              <a:solidFill>
                <a:schemeClr val="tx1"/>
              </a:solidFill>
              <a:effectLst>
                <a:outerShdw blurRad="38100" dist="19050" dir="2700000" algn="tl" rotWithShape="0">
                  <a:schemeClr val="dk1">
                    <a:alpha val="40000"/>
                  </a:schemeClr>
                </a:outerShdw>
              </a:effectLst>
            </a:rPr>
            <a:t> Sundry Sales</a:t>
          </a:r>
        </a:p>
        <a:p>
          <a:pPr algn="ctr"/>
          <a:r>
            <a:rPr lang="en-US" sz="2000" b="1" cap="none" spc="0" baseline="0">
              <a:ln w="0"/>
              <a:solidFill>
                <a:schemeClr val="accent1">
                  <a:lumMod val="75000"/>
                </a:schemeClr>
              </a:solidFill>
              <a:effectLst>
                <a:outerShdw blurRad="38100" dist="19050" dir="2700000" algn="tl" rotWithShape="0">
                  <a:schemeClr val="dk1">
                    <a:alpha val="40000"/>
                  </a:schemeClr>
                </a:outerShdw>
              </a:effectLst>
            </a:rPr>
            <a:t>#26.3M</a:t>
          </a:r>
          <a:endParaRPr lang="en-US" sz="2000" b="1" cap="none" spc="0">
            <a:ln w="0"/>
            <a:solidFill>
              <a:schemeClr val="accent1">
                <a:lumMod val="75000"/>
              </a:schemeClr>
            </a:solidFill>
            <a:effectLst>
              <a:outerShdw blurRad="38100" dist="19050" dir="2700000" algn="tl" rotWithShape="0">
                <a:schemeClr val="dk1">
                  <a:alpha val="40000"/>
                </a:schemeClr>
              </a:outerShdw>
            </a:effectLst>
          </a:endParaRPr>
        </a:p>
      </xdr:txBody>
    </xdr:sp>
    <xdr:clientData/>
  </xdr:twoCellAnchor>
  <xdr:twoCellAnchor>
    <xdr:from>
      <xdr:col>10</xdr:col>
      <xdr:colOff>934900</xdr:colOff>
      <xdr:row>5</xdr:row>
      <xdr:rowOff>118722</xdr:rowOff>
    </xdr:from>
    <xdr:to>
      <xdr:col>26</xdr:col>
      <xdr:colOff>194028</xdr:colOff>
      <xdr:row>14</xdr:row>
      <xdr:rowOff>219052</xdr:rowOff>
    </xdr:to>
    <xdr:graphicFrame macro="">
      <xdr:nvGraphicFramePr>
        <xdr:cNvPr id="8" name="Chart 7">
          <a:extLst>
            <a:ext uri="{FF2B5EF4-FFF2-40B4-BE49-F238E27FC236}">
              <a16:creationId xmlns:a16="http://schemas.microsoft.com/office/drawing/2014/main" id="{6AFE1BD5-537E-492E-A4C7-742FAF0BC8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200781</xdr:colOff>
      <xdr:row>2</xdr:row>
      <xdr:rowOff>253791</xdr:rowOff>
    </xdr:from>
    <xdr:to>
      <xdr:col>25</xdr:col>
      <xdr:colOff>71658</xdr:colOff>
      <xdr:row>8</xdr:row>
      <xdr:rowOff>144743</xdr:rowOff>
    </xdr:to>
    <mc:AlternateContent xmlns:mc="http://schemas.openxmlformats.org/markup-compatibility/2006" xmlns:a14="http://schemas.microsoft.com/office/drawing/2010/main">
      <mc:Choice Requires="a14">
        <xdr:graphicFrame macro="">
          <xdr:nvGraphicFramePr>
            <xdr:cNvPr id="10" name="Month 1">
              <a:extLst>
                <a:ext uri="{FF2B5EF4-FFF2-40B4-BE49-F238E27FC236}">
                  <a16:creationId xmlns:a16="http://schemas.microsoft.com/office/drawing/2014/main" id="{BECBF1A6-692A-4D5A-8034-23056FF087E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9820091" y="1129653"/>
              <a:ext cx="2323291" cy="25185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359101</xdr:colOff>
      <xdr:row>5</xdr:row>
      <xdr:rowOff>118722</xdr:rowOff>
    </xdr:from>
    <xdr:to>
      <xdr:col>10</xdr:col>
      <xdr:colOff>468942</xdr:colOff>
      <xdr:row>14</xdr:row>
      <xdr:rowOff>219052</xdr:rowOff>
    </xdr:to>
    <xdr:graphicFrame macro="">
      <xdr:nvGraphicFramePr>
        <xdr:cNvPr id="12" name="Chart 11">
          <a:extLst>
            <a:ext uri="{FF2B5EF4-FFF2-40B4-BE49-F238E27FC236}">
              <a16:creationId xmlns:a16="http://schemas.microsoft.com/office/drawing/2014/main" id="{875254B2-DB9B-4F30-B161-7CC44BB5A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389383</xdr:colOff>
      <xdr:row>16</xdr:row>
      <xdr:rowOff>278104</xdr:rowOff>
    </xdr:from>
    <xdr:to>
      <xdr:col>10</xdr:col>
      <xdr:colOff>499224</xdr:colOff>
      <xdr:row>25</xdr:row>
      <xdr:rowOff>378434</xdr:rowOff>
    </xdr:to>
    <xdr:graphicFrame macro="">
      <xdr:nvGraphicFramePr>
        <xdr:cNvPr id="13" name="Chart 12">
          <a:extLst>
            <a:ext uri="{FF2B5EF4-FFF2-40B4-BE49-F238E27FC236}">
              <a16:creationId xmlns:a16="http://schemas.microsoft.com/office/drawing/2014/main" id="{742F7EE3-4353-47D3-9BB4-939F1F74D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505642</xdr:colOff>
      <xdr:row>3</xdr:row>
      <xdr:rowOff>118534</xdr:rowOff>
    </xdr:from>
    <xdr:to>
      <xdr:col>2</xdr:col>
      <xdr:colOff>1017718</xdr:colOff>
      <xdr:row>4</xdr:row>
      <xdr:rowOff>24460</xdr:rowOff>
    </xdr:to>
    <xdr:sp macro="" textlink="Master_Pivot!I3">
      <xdr:nvSpPr>
        <xdr:cNvPr id="23" name="TextBox 22">
          <a:extLst>
            <a:ext uri="{FF2B5EF4-FFF2-40B4-BE49-F238E27FC236}">
              <a16:creationId xmlns:a16="http://schemas.microsoft.com/office/drawing/2014/main" id="{5675DDDE-A954-C9EA-E03D-B1C786ED790F}"/>
            </a:ext>
          </a:extLst>
        </xdr:cNvPr>
        <xdr:cNvSpPr txBox="1"/>
      </xdr:nvSpPr>
      <xdr:spPr>
        <a:xfrm>
          <a:off x="1597842" y="1464734"/>
          <a:ext cx="1604276" cy="3546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10D0F2-CB65-46CF-B3C5-8C04FDF918DB}" type="TxLink">
            <a:rPr lang="en-US" sz="2000" b="1" i="0" u="none" strike="noStrike">
              <a:solidFill>
                <a:schemeClr val="accent1">
                  <a:lumMod val="75000"/>
                </a:schemeClr>
              </a:solidFill>
              <a:latin typeface="Aptos Narrow"/>
            </a:rPr>
            <a:pPr algn="ctr"/>
            <a:t>₦275.6M</a:t>
          </a:fld>
          <a:endParaRPr lang="en-US" sz="2000" b="1">
            <a:solidFill>
              <a:schemeClr val="accent1">
                <a:lumMod val="75000"/>
              </a:schemeClr>
            </a:solidFill>
          </a:endParaRPr>
        </a:p>
      </xdr:txBody>
    </xdr:sp>
    <xdr:clientData/>
  </xdr:twoCellAnchor>
  <xdr:twoCellAnchor>
    <xdr:from>
      <xdr:col>4</xdr:col>
      <xdr:colOff>964954</xdr:colOff>
      <xdr:row>3</xdr:row>
      <xdr:rowOff>102336</xdr:rowOff>
    </xdr:from>
    <xdr:to>
      <xdr:col>6</xdr:col>
      <xdr:colOff>377626</xdr:colOff>
      <xdr:row>4</xdr:row>
      <xdr:rowOff>7767</xdr:rowOff>
    </xdr:to>
    <xdr:sp macro="" textlink="Master_Pivot!I4">
      <xdr:nvSpPr>
        <xdr:cNvPr id="24" name="TextBox 23">
          <a:extLst>
            <a:ext uri="{FF2B5EF4-FFF2-40B4-BE49-F238E27FC236}">
              <a16:creationId xmlns:a16="http://schemas.microsoft.com/office/drawing/2014/main" id="{B3B0BD65-36B5-7F5D-9DFD-EC03F4B03FE6}"/>
            </a:ext>
          </a:extLst>
        </xdr:cNvPr>
        <xdr:cNvSpPr txBox="1"/>
      </xdr:nvSpPr>
      <xdr:spPr>
        <a:xfrm>
          <a:off x="5333754" y="1448536"/>
          <a:ext cx="1597072" cy="3541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38A04B-C7E2-4F8F-AACD-1AFCC25955A7}" type="TxLink">
            <a:rPr lang="en-US" sz="2000" b="1" i="0" u="none" strike="noStrike">
              <a:solidFill>
                <a:schemeClr val="accent2">
                  <a:lumMod val="75000"/>
                </a:schemeClr>
              </a:solidFill>
              <a:latin typeface="Aptos Narrow"/>
            </a:rPr>
            <a:pPr algn="ctr"/>
            <a:t>₦99.9M</a:t>
          </a:fld>
          <a:endParaRPr lang="en-US" sz="2000" b="1">
            <a:solidFill>
              <a:schemeClr val="accent2">
                <a:lumMod val="75000"/>
              </a:schemeClr>
            </a:solidFill>
          </a:endParaRPr>
        </a:p>
      </xdr:txBody>
    </xdr:sp>
    <xdr:clientData/>
  </xdr:twoCellAnchor>
  <xdr:twoCellAnchor>
    <xdr:from>
      <xdr:col>8</xdr:col>
      <xdr:colOff>416198</xdr:colOff>
      <xdr:row>3</xdr:row>
      <xdr:rowOff>99943</xdr:rowOff>
    </xdr:from>
    <xdr:to>
      <xdr:col>9</xdr:col>
      <xdr:colOff>925429</xdr:colOff>
      <xdr:row>3</xdr:row>
      <xdr:rowOff>447113</xdr:rowOff>
    </xdr:to>
    <xdr:sp macro="" textlink="Master_Pivot!I5">
      <xdr:nvSpPr>
        <xdr:cNvPr id="25" name="TextBox 24">
          <a:extLst>
            <a:ext uri="{FF2B5EF4-FFF2-40B4-BE49-F238E27FC236}">
              <a16:creationId xmlns:a16="http://schemas.microsoft.com/office/drawing/2014/main" id="{77D682A2-E728-5F7D-E950-43CCB5E07016}"/>
            </a:ext>
          </a:extLst>
        </xdr:cNvPr>
        <xdr:cNvSpPr txBox="1"/>
      </xdr:nvSpPr>
      <xdr:spPr>
        <a:xfrm>
          <a:off x="9153798" y="1446143"/>
          <a:ext cx="1601431" cy="3471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B9D0D0-52AE-4913-B3D1-11B430B0EB02}" type="TxLink">
            <a:rPr lang="en-US" sz="2000" b="1" i="0" u="none" strike="noStrike">
              <a:solidFill>
                <a:schemeClr val="accent1">
                  <a:lumMod val="75000"/>
                </a:schemeClr>
              </a:solidFill>
              <a:latin typeface="Aptos Narrow"/>
            </a:rPr>
            <a:pPr algn="ctr"/>
            <a:t>₦89.7M</a:t>
          </a:fld>
          <a:endParaRPr lang="en-US" sz="2000" b="1">
            <a:solidFill>
              <a:schemeClr val="accent1">
                <a:lumMod val="75000"/>
              </a:schemeClr>
            </a:solidFill>
          </a:endParaRPr>
        </a:p>
      </xdr:txBody>
    </xdr:sp>
    <xdr:clientData/>
  </xdr:twoCellAnchor>
  <xdr:twoCellAnchor>
    <xdr:from>
      <xdr:col>11</xdr:col>
      <xdr:colOff>849945</xdr:colOff>
      <xdr:row>3</xdr:row>
      <xdr:rowOff>92323</xdr:rowOff>
    </xdr:from>
    <xdr:to>
      <xdr:col>13</xdr:col>
      <xdr:colOff>264273</xdr:colOff>
      <xdr:row>3</xdr:row>
      <xdr:rowOff>439493</xdr:rowOff>
    </xdr:to>
    <xdr:sp macro="" textlink="Master_Pivot!I6">
      <xdr:nvSpPr>
        <xdr:cNvPr id="26" name="TextBox 25">
          <a:extLst>
            <a:ext uri="{FF2B5EF4-FFF2-40B4-BE49-F238E27FC236}">
              <a16:creationId xmlns:a16="http://schemas.microsoft.com/office/drawing/2014/main" id="{0CB133A8-5185-BFD9-C0FD-3A096293A51C}"/>
            </a:ext>
          </a:extLst>
        </xdr:cNvPr>
        <xdr:cNvSpPr txBox="1"/>
      </xdr:nvSpPr>
      <xdr:spPr>
        <a:xfrm>
          <a:off x="12864145" y="1438523"/>
          <a:ext cx="1598728" cy="3471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190927-808C-48F9-9AB6-A216E26CE657}" type="TxLink">
            <a:rPr lang="en-US" sz="2000" b="1" i="0" u="none" strike="noStrike">
              <a:solidFill>
                <a:schemeClr val="accent1">
                  <a:lumMod val="75000"/>
                </a:schemeClr>
              </a:solidFill>
              <a:latin typeface="Aptos Narrow"/>
            </a:rPr>
            <a:pPr algn="ctr"/>
            <a:t>₦63.2M</a:t>
          </a:fld>
          <a:endParaRPr lang="en-US" sz="2000" b="1">
            <a:solidFill>
              <a:schemeClr val="accent1">
                <a:lumMod val="75000"/>
              </a:schemeClr>
            </a:solidFill>
          </a:endParaRPr>
        </a:p>
      </xdr:txBody>
    </xdr:sp>
    <xdr:clientData/>
  </xdr:twoCellAnchor>
  <xdr:twoCellAnchor>
    <xdr:from>
      <xdr:col>15</xdr:col>
      <xdr:colOff>571758</xdr:colOff>
      <xdr:row>3</xdr:row>
      <xdr:rowOff>83972</xdr:rowOff>
    </xdr:from>
    <xdr:to>
      <xdr:col>18</xdr:col>
      <xdr:colOff>351752</xdr:colOff>
      <xdr:row>3</xdr:row>
      <xdr:rowOff>431142</xdr:rowOff>
    </xdr:to>
    <xdr:sp macro="" textlink="Master_Pivot!I7">
      <xdr:nvSpPr>
        <xdr:cNvPr id="27" name="TextBox 26">
          <a:extLst>
            <a:ext uri="{FF2B5EF4-FFF2-40B4-BE49-F238E27FC236}">
              <a16:creationId xmlns:a16="http://schemas.microsoft.com/office/drawing/2014/main" id="{3B7FD72A-F3D5-1279-BCD1-1A1DA96D6861}"/>
            </a:ext>
          </a:extLst>
        </xdr:cNvPr>
        <xdr:cNvSpPr txBox="1"/>
      </xdr:nvSpPr>
      <xdr:spPr>
        <a:xfrm>
          <a:off x="16472158" y="1430172"/>
          <a:ext cx="1608794" cy="3471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D59D06-B1A9-4AF4-9693-E93109F01E11}" type="TxLink">
            <a:rPr lang="en-US" sz="2000" b="1" i="0" u="none" strike="noStrike">
              <a:solidFill>
                <a:schemeClr val="accent1">
                  <a:lumMod val="75000"/>
                </a:schemeClr>
              </a:solidFill>
              <a:latin typeface="Aptos Narrow"/>
            </a:rPr>
            <a:pPr algn="ctr"/>
            <a:t>₦26.3M</a:t>
          </a:fld>
          <a:endParaRPr lang="en-US" sz="2000" b="1">
            <a:solidFill>
              <a:schemeClr val="accent1">
                <a:lumMod val="75000"/>
              </a:schemeClr>
            </a:solidFill>
          </a:endParaRPr>
        </a:p>
      </xdr:txBody>
    </xdr:sp>
    <xdr:clientData/>
  </xdr:twoCellAnchor>
  <xdr:twoCellAnchor>
    <xdr:from>
      <xdr:col>11</xdr:col>
      <xdr:colOff>67193</xdr:colOff>
      <xdr:row>16</xdr:row>
      <xdr:rowOff>278104</xdr:rowOff>
    </xdr:from>
    <xdr:to>
      <xdr:col>26</xdr:col>
      <xdr:colOff>423978</xdr:colOff>
      <xdr:row>25</xdr:row>
      <xdr:rowOff>381366</xdr:rowOff>
    </xdr:to>
    <xdr:graphicFrame macro="">
      <xdr:nvGraphicFramePr>
        <xdr:cNvPr id="7" name="Chart 6">
          <a:extLst>
            <a:ext uri="{FF2B5EF4-FFF2-40B4-BE49-F238E27FC236}">
              <a16:creationId xmlns:a16="http://schemas.microsoft.com/office/drawing/2014/main" id="{E776FCAF-4578-4269-AE9B-BA7D9346C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508000</xdr:colOff>
      <xdr:row>11</xdr:row>
      <xdr:rowOff>0</xdr:rowOff>
    </xdr:from>
    <xdr:to>
      <xdr:col>2</xdr:col>
      <xdr:colOff>558800</xdr:colOff>
      <xdr:row>22</xdr:row>
      <xdr:rowOff>158750</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0AA8E5AE-4484-5643-9252-BD8F7045889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08000" y="20256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952500</xdr:colOff>
      <xdr:row>0</xdr:row>
      <xdr:rowOff>31750</xdr:rowOff>
    </xdr:from>
    <xdr:to>
      <xdr:col>8</xdr:col>
      <xdr:colOff>83820</xdr:colOff>
      <xdr:row>15</xdr:row>
      <xdr:rowOff>12700</xdr:rowOff>
    </xdr:to>
    <xdr:graphicFrame macro="">
      <xdr:nvGraphicFramePr>
        <xdr:cNvPr id="3" name="Chart 2">
          <a:extLst>
            <a:ext uri="{FF2B5EF4-FFF2-40B4-BE49-F238E27FC236}">
              <a16:creationId xmlns:a16="http://schemas.microsoft.com/office/drawing/2014/main" id="{41ED39D8-68C4-96F9-E215-B3628995F5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19050</xdr:colOff>
      <xdr:row>0</xdr:row>
      <xdr:rowOff>123825</xdr:rowOff>
    </xdr:from>
    <xdr:to>
      <xdr:col>9</xdr:col>
      <xdr:colOff>323850</xdr:colOff>
      <xdr:row>15</xdr:row>
      <xdr:rowOff>104775</xdr:rowOff>
    </xdr:to>
    <xdr:graphicFrame macro="">
      <xdr:nvGraphicFramePr>
        <xdr:cNvPr id="2" name="Chart 1">
          <a:extLst>
            <a:ext uri="{FF2B5EF4-FFF2-40B4-BE49-F238E27FC236}">
              <a16:creationId xmlns:a16="http://schemas.microsoft.com/office/drawing/2014/main" id="{AB9C121F-6E19-D514-725E-5925019167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266700</xdr:colOff>
      <xdr:row>0</xdr:row>
      <xdr:rowOff>76200</xdr:rowOff>
    </xdr:from>
    <xdr:to>
      <xdr:col>9</xdr:col>
      <xdr:colOff>571500</xdr:colOff>
      <xdr:row>15</xdr:row>
      <xdr:rowOff>57150</xdr:rowOff>
    </xdr:to>
    <xdr:graphicFrame macro="">
      <xdr:nvGraphicFramePr>
        <xdr:cNvPr id="2" name="Chart 1">
          <a:extLst>
            <a:ext uri="{FF2B5EF4-FFF2-40B4-BE49-F238E27FC236}">
              <a16:creationId xmlns:a16="http://schemas.microsoft.com/office/drawing/2014/main" id="{E8A70993-39D0-7866-40C7-5EE1A5B61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15874</xdr:colOff>
      <xdr:row>1</xdr:row>
      <xdr:rowOff>19050</xdr:rowOff>
    </xdr:from>
    <xdr:to>
      <xdr:col>10</xdr:col>
      <xdr:colOff>304800</xdr:colOff>
      <xdr:row>16</xdr:row>
      <xdr:rowOff>142875</xdr:rowOff>
    </xdr:to>
    <xdr:graphicFrame macro="">
      <xdr:nvGraphicFramePr>
        <xdr:cNvPr id="2" name="Chart 1">
          <a:extLst>
            <a:ext uri="{FF2B5EF4-FFF2-40B4-BE49-F238E27FC236}">
              <a16:creationId xmlns:a16="http://schemas.microsoft.com/office/drawing/2014/main" id="{A4CE4079-5B05-9901-79A3-BCF3B58CE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5.593459953707" createdVersion="8" refreshedVersion="8" minRefreshableVersion="3" recordCount="6" xr:uid="{D6CDCF14-F127-4D03-844E-DD6B73D96109}">
  <cacheSource type="worksheet">
    <worksheetSource name="Table1"/>
  </cacheSource>
  <cacheFields count="7">
    <cacheField name="Month" numFmtId="0">
      <sharedItems count="6">
        <s v="Jan"/>
        <s v="Feb"/>
        <s v="Mar"/>
        <s v="Apr"/>
        <s v="May"/>
        <s v="Jun"/>
      </sharedItems>
    </cacheField>
    <cacheField name="Room Sales" numFmtId="4">
      <sharedItems containsSemiMixedTypes="0" containsString="0" containsNumber="1" containsInteger="1" minValue="10972284" maxValue="25529485"/>
    </cacheField>
    <cacheField name="Food Sales" numFmtId="4">
      <sharedItems containsSemiMixedTypes="0" containsString="0" containsNumber="1" containsInteger="1" minValue="11879200" maxValue="18584550"/>
    </cacheField>
    <cacheField name="Beverage Sales" numFmtId="4">
      <sharedItems containsSemiMixedTypes="0" containsString="0" containsNumber="1" containsInteger="1" minValue="8720000" maxValue="12008000"/>
    </cacheField>
    <cacheField name="Sundry Sales" numFmtId="4">
      <sharedItems containsSemiMixedTypes="0" containsString="0" containsNumber="1" containsInteger="1" minValue="2925000" maxValue="5086300"/>
    </cacheField>
    <cacheField name="Total Revenue" numFmtId="4">
      <sharedItems containsSemiMixedTypes="0" containsString="0" containsNumber="1" containsInteger="1" minValue="34113484" maxValue="56149185"/>
    </cacheField>
    <cacheField name="Room Occupancy Rate" numFmtId="9">
      <sharedItems containsSemiMixedTypes="0" containsString="0" containsNumber="1" minValue="0.28000000000000003" maxValue="0.61"/>
    </cacheField>
  </cacheFields>
  <extLst>
    <ext xmlns:x14="http://schemas.microsoft.com/office/spreadsheetml/2009/9/main" uri="{725AE2AE-9491-48be-B2B4-4EB974FC3084}">
      <x14:pivotCacheDefinition pivotCacheId="18505889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12631970"/>
    <n v="13383500"/>
    <n v="12008000"/>
    <n v="4905500"/>
    <n v="42928970"/>
    <n v="0.28000000000000003"/>
  </r>
  <r>
    <x v="1"/>
    <n v="12660923"/>
    <n v="12902700"/>
    <n v="8720000"/>
    <n v="4103300"/>
    <n v="38386923"/>
    <n v="0.33"/>
  </r>
  <r>
    <x v="2"/>
    <n v="21419981"/>
    <n v="18584550"/>
    <n v="9905500"/>
    <n v="5086300"/>
    <n v="54996331"/>
    <n v="0.45"/>
  </r>
  <r>
    <x v="3"/>
    <n v="25529485"/>
    <n v="16074500"/>
    <n v="9953800"/>
    <n v="4591400"/>
    <n v="56149185"/>
    <n v="0.61"/>
  </r>
  <r>
    <x v="4"/>
    <n v="16682226"/>
    <n v="16924700"/>
    <n v="10703000"/>
    <n v="4735900"/>
    <n v="49045826"/>
    <n v="0.41"/>
  </r>
  <r>
    <x v="5"/>
    <n v="10972284"/>
    <n v="11879200"/>
    <n v="11879200"/>
    <n v="2925000"/>
    <n v="34113484"/>
    <n v="0.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306260-A65F-43F2-A493-CDF331AE2B5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A3:F10" firstHeaderRow="0" firstDataRow="1" firstDataCol="1"/>
  <pivotFields count="7">
    <pivotField axis="axisRow" showAll="0">
      <items count="7">
        <item x="0"/>
        <item x="1"/>
        <item x="2"/>
        <item x="3"/>
        <item x="4"/>
        <item x="5"/>
        <item t="default"/>
      </items>
    </pivotField>
    <pivotField dataField="1" numFmtId="4" showAll="0"/>
    <pivotField dataField="1" numFmtId="4" showAll="0"/>
    <pivotField dataField="1" numFmtId="4" showAll="0"/>
    <pivotField dataField="1" numFmtId="4" showAll="0"/>
    <pivotField dataField="1" numFmtId="4" showAll="0"/>
    <pivotField numFmtId="9" showAll="0"/>
  </pivotFields>
  <rowFields count="1">
    <field x="0"/>
  </rowFields>
  <rowItems count="7">
    <i>
      <x/>
    </i>
    <i>
      <x v="1"/>
    </i>
    <i>
      <x v="2"/>
    </i>
    <i>
      <x v="3"/>
    </i>
    <i>
      <x v="4"/>
    </i>
    <i>
      <x v="5"/>
    </i>
    <i t="grand">
      <x/>
    </i>
  </rowItems>
  <colFields count="1">
    <field x="-2"/>
  </colFields>
  <colItems count="5">
    <i>
      <x/>
    </i>
    <i i="1">
      <x v="1"/>
    </i>
    <i i="2">
      <x v="2"/>
    </i>
    <i i="3">
      <x v="3"/>
    </i>
    <i i="4">
      <x v="4"/>
    </i>
  </colItems>
  <dataFields count="5">
    <dataField name="Total Room Sales" fld="1" baseField="0" baseItem="0" numFmtId="4"/>
    <dataField name="Total Food Sales" fld="2" baseField="0" baseItem="0" numFmtId="4"/>
    <dataField name="Total Beverage Sales" fld="3" baseField="0" baseItem="0" numFmtId="4"/>
    <dataField name="Total Sundry Sales" fld="4" baseField="0" baseItem="0" numFmtId="4"/>
    <dataField name="Sum of Total Revenue" fld="5"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94F81A-2C98-4A44-B079-89A9080B8A3F}" name="PivotTable11" cacheId="0" dataOnRows="1" applyNumberFormats="0" applyBorderFormats="0" applyFontFormats="0" applyPatternFormats="0" applyAlignmentFormats="0" applyWidthHeightFormats="1" dataCaption="Business Unit" updatedVersion="8" minRefreshableVersion="3" useAutoFormatting="1" itemPrintTitles="1" createdVersion="8" indent="0" outline="1" outlineData="1" multipleFieldFilters="0" chartFormat="4">
  <location ref="A3:B7" firstHeaderRow="1" firstDataRow="1" firstDataCol="1"/>
  <pivotFields count="7">
    <pivotField showAll="0">
      <items count="7">
        <item x="0"/>
        <item x="1"/>
        <item x="2"/>
        <item x="3"/>
        <item x="4"/>
        <item x="5"/>
        <item t="default"/>
      </items>
    </pivotField>
    <pivotField dataField="1" numFmtId="4" showAll="0"/>
    <pivotField dataField="1" numFmtId="4" showAll="0"/>
    <pivotField dataField="1" numFmtId="4" showAll="0"/>
    <pivotField dataField="1" numFmtId="4" showAll="0"/>
    <pivotField numFmtId="4" showAll="0"/>
    <pivotField numFmtId="9" showAll="0"/>
  </pivotFields>
  <rowFields count="1">
    <field x="-2"/>
  </rowFields>
  <rowItems count="4">
    <i>
      <x/>
    </i>
    <i i="1">
      <x v="1"/>
    </i>
    <i i="2">
      <x v="2"/>
    </i>
    <i i="3">
      <x v="3"/>
    </i>
  </rowItems>
  <colItems count="1">
    <i/>
  </colItems>
  <dataFields count="4">
    <dataField name=" Room Sales" fld="1" baseField="0" baseItem="0" numFmtId="4"/>
    <dataField name=" Food Sales" fld="2" baseField="0" baseItem="0" numFmtId="4"/>
    <dataField name=" Beverage Sales" fld="3" baseField="0" baseItem="0" numFmtId="4"/>
    <dataField name=" Sundry Sales" fld="4" baseField="0" baseItem="0" numFmtId="4"/>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1">
          <reference field="4294967294" count="1" selected="0">
            <x v="0"/>
          </reference>
        </references>
      </pivotArea>
    </chartFormat>
    <chartFormat chart="1" format="2">
      <pivotArea type="data" outline="0" fieldPosition="0">
        <references count="1">
          <reference field="4294967294" count="1" selected="0">
            <x v="1"/>
          </reference>
        </references>
      </pivotArea>
    </chartFormat>
    <chartFormat chart="1" format="3">
      <pivotArea type="data" outline="0" fieldPosition="0">
        <references count="1">
          <reference field="4294967294" count="1" selected="0">
            <x v="2"/>
          </reference>
        </references>
      </pivotArea>
    </chartFormat>
    <chartFormat chart="1" format="4">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65115A-2E4E-4FC1-85C6-6D5168DE662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onth">
  <location ref="A3:B10" firstHeaderRow="1" firstDataRow="1" firstDataCol="1"/>
  <pivotFields count="7">
    <pivotField axis="axisRow" showAll="0">
      <items count="7">
        <item x="0"/>
        <item x="1"/>
        <item x="2"/>
        <item x="3"/>
        <item x="4"/>
        <item x="5"/>
        <item t="default"/>
      </items>
    </pivotField>
    <pivotField numFmtId="4" showAll="0"/>
    <pivotField numFmtId="4" showAll="0"/>
    <pivotField numFmtId="4" showAll="0"/>
    <pivotField numFmtId="4" showAll="0"/>
    <pivotField dataField="1" numFmtId="4" showAll="0"/>
    <pivotField numFmtId="9" showAll="0"/>
  </pivotFields>
  <rowFields count="1">
    <field x="0"/>
  </rowFields>
  <rowItems count="7">
    <i>
      <x/>
    </i>
    <i>
      <x v="1"/>
    </i>
    <i>
      <x v="2"/>
    </i>
    <i>
      <x v="3"/>
    </i>
    <i>
      <x v="4"/>
    </i>
    <i>
      <x v="5"/>
    </i>
    <i t="grand">
      <x/>
    </i>
  </rowItems>
  <colItems count="1">
    <i/>
  </colItems>
  <dataFields count="1">
    <dataField name="Sum of Total Revenue" fld="5" baseField="0" baseItem="0" numFmtId="4"/>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5346D9-1802-4229-8F23-56A4B5A64EEB}"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Month">
  <location ref="A3:B9" firstHeaderRow="1" firstDataRow="1" firstDataCol="1"/>
  <pivotFields count="7">
    <pivotField axis="axisRow" showAll="0">
      <items count="7">
        <item x="0"/>
        <item x="1"/>
        <item x="2"/>
        <item x="3"/>
        <item x="4"/>
        <item x="5"/>
        <item t="default"/>
      </items>
    </pivotField>
    <pivotField numFmtId="4" showAll="0"/>
    <pivotField numFmtId="4" showAll="0"/>
    <pivotField numFmtId="4" showAll="0"/>
    <pivotField numFmtId="4" showAll="0"/>
    <pivotField numFmtId="4" showAll="0"/>
    <pivotField dataField="1" numFmtId="9" showAll="0"/>
  </pivotFields>
  <rowFields count="1">
    <field x="0"/>
  </rowFields>
  <rowItems count="6">
    <i>
      <x/>
    </i>
    <i>
      <x v="1"/>
    </i>
    <i>
      <x v="2"/>
    </i>
    <i>
      <x v="3"/>
    </i>
    <i>
      <x v="4"/>
    </i>
    <i>
      <x v="5"/>
    </i>
  </rowItems>
  <colItems count="1">
    <i/>
  </colItems>
  <dataFields count="1">
    <dataField name="Sum of Room Occupancy Rate" fld="6" baseField="0" baseItem="0" numFmtId="9"/>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2572C5-0AD9-4AA4-B989-F52A5A443FC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
  <location ref="A3:E10" firstHeaderRow="0" firstDataRow="1" firstDataCol="1"/>
  <pivotFields count="7">
    <pivotField axis="axisRow" showAll="0">
      <items count="7">
        <item x="0"/>
        <item x="1"/>
        <item x="2"/>
        <item x="3"/>
        <item x="4"/>
        <item x="5"/>
        <item t="default"/>
      </items>
    </pivotField>
    <pivotField dataField="1" numFmtId="4" showAll="0"/>
    <pivotField dataField="1" numFmtId="4" showAll="0"/>
    <pivotField dataField="1" numFmtId="4" showAll="0"/>
    <pivotField dataField="1" numFmtId="4" showAll="0"/>
    <pivotField numFmtId="4" showAll="0"/>
    <pivotField numFmtId="9" showAll="0"/>
  </pivotFields>
  <rowFields count="1">
    <field x="0"/>
  </rowFields>
  <rowItems count="7">
    <i>
      <x/>
    </i>
    <i>
      <x v="1"/>
    </i>
    <i>
      <x v="2"/>
    </i>
    <i>
      <x v="3"/>
    </i>
    <i>
      <x v="4"/>
    </i>
    <i>
      <x v="5"/>
    </i>
    <i t="grand">
      <x/>
    </i>
  </rowItems>
  <colFields count="1">
    <field x="-2"/>
  </colFields>
  <colItems count="4">
    <i>
      <x/>
    </i>
    <i i="1">
      <x v="1"/>
    </i>
    <i i="2">
      <x v="2"/>
    </i>
    <i i="3">
      <x v="3"/>
    </i>
  </colItems>
  <dataFields count="4">
    <dataField name="Sum of Room Sales" fld="1" baseField="0" baseItem="0" numFmtId="4"/>
    <dataField name="Sum of Food Sales" fld="2" baseField="0" baseItem="0" numFmtId="4"/>
    <dataField name="Sum of Beverage Sales" fld="3" baseField="0" baseItem="0" numFmtId="4"/>
    <dataField name="Sum of Sundry Sales" fld="4" baseField="0" baseItem="0" numFmtId="4"/>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2"/>
          </reference>
        </references>
      </pivotArea>
    </chartFormat>
    <chartFormat chart="7"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FFB9DF-CA0B-43C3-B0FC-4FD3DBD2E9A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A3:B10" firstHeaderRow="1" firstDataRow="1" firstDataCol="1"/>
  <pivotFields count="7">
    <pivotField axis="axisRow" showAll="0">
      <items count="7">
        <item x="0"/>
        <item x="1"/>
        <item x="2"/>
        <item x="3"/>
        <item x="4"/>
        <item x="5"/>
        <item t="default"/>
      </items>
    </pivotField>
    <pivotField dataField="1" numFmtId="4" showAll="0"/>
    <pivotField numFmtId="4" showAll="0"/>
    <pivotField numFmtId="4" showAll="0"/>
    <pivotField numFmtId="4" showAll="0"/>
    <pivotField numFmtId="4" showAll="0"/>
    <pivotField numFmtId="9" showAll="0"/>
  </pivotFields>
  <rowFields count="1">
    <field x="0"/>
  </rowFields>
  <rowItems count="7">
    <i>
      <x/>
    </i>
    <i>
      <x v="1"/>
    </i>
    <i>
      <x v="2"/>
    </i>
    <i>
      <x v="3"/>
    </i>
    <i>
      <x v="4"/>
    </i>
    <i>
      <x v="5"/>
    </i>
    <i t="grand">
      <x/>
    </i>
  </rowItems>
  <colItems count="1">
    <i/>
  </colItems>
  <dataFields count="1">
    <dataField name="Total Room Sales" fld="1"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33E894-5412-4734-B713-A98653DEA6F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A3:B10" firstHeaderRow="1" firstDataRow="1" firstDataCol="1"/>
  <pivotFields count="7">
    <pivotField axis="axisRow" showAll="0">
      <items count="7">
        <item x="0"/>
        <item x="1"/>
        <item x="2"/>
        <item x="3"/>
        <item x="4"/>
        <item x="5"/>
        <item t="default"/>
      </items>
    </pivotField>
    <pivotField numFmtId="4" showAll="0"/>
    <pivotField dataField="1" numFmtId="4" showAll="0"/>
    <pivotField numFmtId="4" showAll="0"/>
    <pivotField numFmtId="4" showAll="0"/>
    <pivotField numFmtId="4" showAll="0"/>
    <pivotField numFmtId="9" showAll="0"/>
  </pivotFields>
  <rowFields count="1">
    <field x="0"/>
  </rowFields>
  <rowItems count="7">
    <i>
      <x/>
    </i>
    <i>
      <x v="1"/>
    </i>
    <i>
      <x v="2"/>
    </i>
    <i>
      <x v="3"/>
    </i>
    <i>
      <x v="4"/>
    </i>
    <i>
      <x v="5"/>
    </i>
    <i t="grand">
      <x/>
    </i>
  </rowItems>
  <colItems count="1">
    <i/>
  </colItems>
  <dataFields count="1">
    <dataField name="Total Food Sales" fld="2"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98F788-5DEC-4E86-AAF3-653D1E9DA66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A3:B10" firstHeaderRow="1" firstDataRow="1" firstDataCol="1"/>
  <pivotFields count="7">
    <pivotField axis="axisRow" showAll="0">
      <items count="7">
        <item x="0"/>
        <item x="1"/>
        <item x="2"/>
        <item x="3"/>
        <item x="4"/>
        <item x="5"/>
        <item t="default"/>
      </items>
    </pivotField>
    <pivotField numFmtId="4" showAll="0"/>
    <pivotField numFmtId="4" showAll="0"/>
    <pivotField dataField="1" numFmtId="4" showAll="0"/>
    <pivotField numFmtId="4" showAll="0"/>
    <pivotField numFmtId="4" showAll="0"/>
    <pivotField numFmtId="9" showAll="0"/>
  </pivotFields>
  <rowFields count="1">
    <field x="0"/>
  </rowFields>
  <rowItems count="7">
    <i>
      <x/>
    </i>
    <i>
      <x v="1"/>
    </i>
    <i>
      <x v="2"/>
    </i>
    <i>
      <x v="3"/>
    </i>
    <i>
      <x v="4"/>
    </i>
    <i>
      <x v="5"/>
    </i>
    <i t="grand">
      <x/>
    </i>
  </rowItems>
  <colItems count="1">
    <i/>
  </colItems>
  <dataFields count="1">
    <dataField name="Total Beverage Sales" fld="3"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114F45-63EC-447B-969C-BCA72EC578E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A3:B10" firstHeaderRow="1" firstDataRow="1" firstDataCol="1"/>
  <pivotFields count="7">
    <pivotField axis="axisRow" showAll="0">
      <items count="7">
        <item x="0"/>
        <item x="1"/>
        <item x="2"/>
        <item x="3"/>
        <item x="4"/>
        <item x="5"/>
        <item t="default"/>
      </items>
    </pivotField>
    <pivotField numFmtId="4" showAll="0"/>
    <pivotField numFmtId="4" showAll="0"/>
    <pivotField numFmtId="4" showAll="0"/>
    <pivotField dataField="1" numFmtId="4" showAll="0"/>
    <pivotField numFmtId="4" showAll="0"/>
    <pivotField numFmtId="9" showAll="0"/>
  </pivotFields>
  <rowFields count="1">
    <field x="0"/>
  </rowFields>
  <rowItems count="7">
    <i>
      <x/>
    </i>
    <i>
      <x v="1"/>
    </i>
    <i>
      <x v="2"/>
    </i>
    <i>
      <x v="3"/>
    </i>
    <i>
      <x v="4"/>
    </i>
    <i>
      <x v="5"/>
    </i>
    <i t="grand">
      <x/>
    </i>
  </rowItems>
  <colItems count="1">
    <i/>
  </colItems>
  <dataFields count="1">
    <dataField name="Total Sundry Sales" fld="4"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4213A9B-A170-450D-BC70-98C3C2870299}" sourceName="Month">
  <pivotTables>
    <pivotTable tabId="5" name="PivotTable6"/>
    <pivotTable tabId="8" name="PivotTable11"/>
    <pivotTable tabId="4" name="PivotTable5"/>
    <pivotTable tabId="9" name="PivotTable1"/>
    <pivotTable tabId="3" name="PivotTable4"/>
    <pivotTable tabId="2" name="PivotTable3"/>
    <pivotTable tabId="6" name="PivotTable7"/>
    <pivotTable tabId="10" name="PivotTable2"/>
    <pivotTable tabId="15" name="PivotTable3"/>
  </pivotTables>
  <data>
    <tabular pivotCacheId="1850588948">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6D2E94FA-39DD-46E6-9D6C-484CD845F80A}" cache="Slicer_Month" caption="Month"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86ABD90-AAA0-4C52-92F2-E44E74865133}" cache="Slicer_Month" caption="Month"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D06A69-9E87-4C44-9228-317E2D565F08}" name="Table1" displayName="Table1" ref="A1:G7" totalsRowShown="0">
  <autoFilter ref="A1:G7" xr:uid="{57D06A69-9E87-4C44-9228-317E2D565F08}"/>
  <tableColumns count="7">
    <tableColumn id="1" xr3:uid="{7942A1ED-1640-4F3F-B3C1-C817C893D20B}" name="Month"/>
    <tableColumn id="2" xr3:uid="{D5C0DB59-C758-4F68-809A-24DAA912EE65}" name="Room Sales" dataDxfId="5"/>
    <tableColumn id="3" xr3:uid="{EC55C28A-1E33-4AD4-A4C9-832DB9055F3A}" name="Food Sales" dataDxfId="4"/>
    <tableColumn id="4" xr3:uid="{DDC4CB8A-D1BC-427B-A91B-9CBF6748A19D}" name="Beverage Sales" dataDxfId="3"/>
    <tableColumn id="5" xr3:uid="{A275CB3D-E7F9-4DC8-9B3F-64D11EB5232E}" name="Sundry Sales" dataDxfId="2"/>
    <tableColumn id="6" xr3:uid="{522C8ED7-F43A-4DEF-B167-B5C5A964111F}" name="Total Revenue" dataDxfId="1"/>
    <tableColumn id="8" xr3:uid="{493A0094-2043-46C2-849B-F42091773A93}" name="Room Occupancy R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69662-7AAA-4097-B70E-4A82D6C1C55F}">
  <sheetPr>
    <pageSetUpPr fitToPage="1"/>
  </sheetPr>
  <dimension ref="A1:Y2"/>
  <sheetViews>
    <sheetView showGridLines="0" tabSelected="1" zoomScale="70" zoomScaleNormal="70" workbookViewId="0">
      <selection activeCell="J5" sqref="J5"/>
    </sheetView>
  </sheetViews>
  <sheetFormatPr defaultRowHeight="35" customHeight="1" x14ac:dyDescent="0.35"/>
  <cols>
    <col min="1" max="14" width="15.6328125" customWidth="1"/>
  </cols>
  <sheetData>
    <row r="1" spans="1:25" ht="35" customHeight="1" x14ac:dyDescent="0.35">
      <c r="A1" s="7" t="s">
        <v>28</v>
      </c>
      <c r="B1" s="7"/>
      <c r="C1" s="7"/>
      <c r="D1" s="7"/>
      <c r="E1" s="7"/>
      <c r="F1" s="7"/>
      <c r="G1" s="7"/>
      <c r="H1" s="7"/>
      <c r="I1" s="7"/>
      <c r="J1" s="7"/>
      <c r="K1" s="7"/>
      <c r="L1" s="7"/>
      <c r="M1" s="7"/>
      <c r="N1" s="7"/>
      <c r="O1" s="7"/>
      <c r="P1" s="7"/>
      <c r="Q1" s="7"/>
      <c r="R1" s="7"/>
      <c r="S1" s="7"/>
      <c r="T1" s="7"/>
      <c r="U1" s="7"/>
      <c r="V1" s="7"/>
      <c r="W1" s="7"/>
      <c r="X1" s="7"/>
      <c r="Y1" s="7"/>
    </row>
    <row r="2" spans="1:25" ht="35" customHeight="1" x14ac:dyDescent="0.35">
      <c r="A2" s="7"/>
      <c r="B2" s="7"/>
      <c r="C2" s="7"/>
      <c r="D2" s="7"/>
      <c r="E2" s="7"/>
      <c r="F2" s="7"/>
      <c r="G2" s="7"/>
      <c r="H2" s="7"/>
      <c r="I2" s="7"/>
      <c r="J2" s="7"/>
      <c r="K2" s="7"/>
      <c r="L2" s="7"/>
      <c r="M2" s="7"/>
      <c r="N2" s="7"/>
      <c r="O2" s="7"/>
      <c r="P2" s="7"/>
      <c r="Q2" s="7"/>
      <c r="R2" s="7"/>
      <c r="S2" s="7"/>
      <c r="T2" s="7"/>
      <c r="U2" s="7"/>
      <c r="V2" s="7"/>
      <c r="W2" s="7"/>
      <c r="X2" s="7"/>
      <c r="Y2" s="7"/>
    </row>
  </sheetData>
  <mergeCells count="1">
    <mergeCell ref="A1:Y2"/>
  </mergeCells>
  <pageMargins left="0.7" right="0.7" top="0.75" bottom="0.75" header="0.3" footer="0.3"/>
  <pageSetup scale="38" orientation="landscape" horizontalDpi="4294967293"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51CE3-4083-4FE1-BC97-62CD3BC9661C}">
  <dimension ref="A3:I10"/>
  <sheetViews>
    <sheetView topLeftCell="A8" workbookViewId="0">
      <selection activeCell="E14" sqref="E14"/>
    </sheetView>
  </sheetViews>
  <sheetFormatPr defaultRowHeight="14.5" x14ac:dyDescent="0.35"/>
  <cols>
    <col min="1" max="1" width="10.36328125" bestFit="1" customWidth="1"/>
    <col min="2" max="2" width="15.08984375" bestFit="1" customWidth="1"/>
    <col min="3" max="3" width="14.36328125" bestFit="1" customWidth="1"/>
    <col min="4" max="4" width="17.90625" bestFit="1" customWidth="1"/>
    <col min="5" max="5" width="16.1796875" bestFit="1" customWidth="1"/>
    <col min="6" max="6" width="18.90625" bestFit="1" customWidth="1"/>
    <col min="8" max="8" width="18.90625" bestFit="1" customWidth="1"/>
    <col min="9" max="9" width="9.81640625" bestFit="1" customWidth="1"/>
  </cols>
  <sheetData>
    <row r="3" spans="1:9" x14ac:dyDescent="0.35">
      <c r="A3" s="2" t="s">
        <v>0</v>
      </c>
      <c r="B3" t="s">
        <v>14</v>
      </c>
      <c r="C3" t="s">
        <v>17</v>
      </c>
      <c r="D3" t="s">
        <v>19</v>
      </c>
      <c r="E3" t="s">
        <v>21</v>
      </c>
      <c r="F3" t="s">
        <v>15</v>
      </c>
      <c r="H3" t="s">
        <v>29</v>
      </c>
      <c r="I3" s="4">
        <f>GETPIVOTDATA("Sum of Total Revenue",$A$3)</f>
        <v>275620719</v>
      </c>
    </row>
    <row r="4" spans="1:9" x14ac:dyDescent="0.35">
      <c r="A4" s="3" t="s">
        <v>6</v>
      </c>
      <c r="B4" s="1">
        <v>12631970</v>
      </c>
      <c r="C4" s="1">
        <v>13383500</v>
      </c>
      <c r="D4" s="1">
        <v>12008000</v>
      </c>
      <c r="E4" s="1">
        <v>4905500</v>
      </c>
      <c r="F4" s="1">
        <v>42928970</v>
      </c>
      <c r="H4" t="s">
        <v>30</v>
      </c>
      <c r="I4" s="4">
        <f>GETPIVOTDATA("Total Room Sales",$A$3)</f>
        <v>99896869</v>
      </c>
    </row>
    <row r="5" spans="1:9" x14ac:dyDescent="0.35">
      <c r="A5" s="3" t="s">
        <v>7</v>
      </c>
      <c r="B5" s="1">
        <v>12660923</v>
      </c>
      <c r="C5" s="1">
        <v>12902700</v>
      </c>
      <c r="D5" s="1">
        <v>8720000</v>
      </c>
      <c r="E5" s="1">
        <v>4103300</v>
      </c>
      <c r="F5" s="1">
        <v>38386923</v>
      </c>
      <c r="H5" t="s">
        <v>31</v>
      </c>
      <c r="I5" s="4">
        <f>GETPIVOTDATA("Total Food Sales",$A$3)</f>
        <v>89749150</v>
      </c>
    </row>
    <row r="6" spans="1:9" x14ac:dyDescent="0.35">
      <c r="A6" s="3" t="s">
        <v>8</v>
      </c>
      <c r="B6" s="1">
        <v>21419981</v>
      </c>
      <c r="C6" s="1">
        <v>18584550</v>
      </c>
      <c r="D6" s="1">
        <v>9905500</v>
      </c>
      <c r="E6" s="1">
        <v>5086300</v>
      </c>
      <c r="F6" s="1">
        <v>54996331</v>
      </c>
      <c r="H6" t="s">
        <v>32</v>
      </c>
      <c r="I6" s="4">
        <f>GETPIVOTDATA("Total Beverage Sales",$A$3)</f>
        <v>63169500</v>
      </c>
    </row>
    <row r="7" spans="1:9" x14ac:dyDescent="0.35">
      <c r="A7" s="3" t="s">
        <v>9</v>
      </c>
      <c r="B7" s="1">
        <v>25529485</v>
      </c>
      <c r="C7" s="1">
        <v>16074500</v>
      </c>
      <c r="D7" s="1">
        <v>9953800</v>
      </c>
      <c r="E7" s="1">
        <v>4591400</v>
      </c>
      <c r="F7" s="1">
        <v>56149185</v>
      </c>
      <c r="H7" t="s">
        <v>33</v>
      </c>
      <c r="I7" s="4">
        <f>GETPIVOTDATA("Total Sundry Sales",$A$3)</f>
        <v>26347400</v>
      </c>
    </row>
    <row r="8" spans="1:9" x14ac:dyDescent="0.35">
      <c r="A8" s="3" t="s">
        <v>10</v>
      </c>
      <c r="B8" s="1">
        <v>16682226</v>
      </c>
      <c r="C8" s="1">
        <v>16924700</v>
      </c>
      <c r="D8" s="1">
        <v>10703000</v>
      </c>
      <c r="E8" s="1">
        <v>4735900</v>
      </c>
      <c r="F8" s="1">
        <v>49045826</v>
      </c>
    </row>
    <row r="9" spans="1:9" x14ac:dyDescent="0.35">
      <c r="A9" s="3" t="s">
        <v>11</v>
      </c>
      <c r="B9" s="1">
        <v>10972284</v>
      </c>
      <c r="C9" s="1">
        <v>11879200</v>
      </c>
      <c r="D9" s="1">
        <v>11879200</v>
      </c>
      <c r="E9" s="1">
        <v>2925000</v>
      </c>
      <c r="F9" s="1">
        <v>34113484</v>
      </c>
    </row>
    <row r="10" spans="1:9" x14ac:dyDescent="0.35">
      <c r="A10" s="3" t="s">
        <v>12</v>
      </c>
      <c r="B10" s="1">
        <v>99896869</v>
      </c>
      <c r="C10" s="1">
        <v>89749150</v>
      </c>
      <c r="D10" s="1">
        <v>63169500</v>
      </c>
      <c r="E10" s="1">
        <v>26347400</v>
      </c>
      <c r="F10" s="1">
        <v>275620719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52C64-3E0B-4C40-9A67-B8755959FCF1}">
  <dimension ref="A1:G7"/>
  <sheetViews>
    <sheetView zoomScaleNormal="100" workbookViewId="0">
      <selection activeCell="C13" sqref="C13"/>
    </sheetView>
  </sheetViews>
  <sheetFormatPr defaultRowHeight="14.5" x14ac:dyDescent="0.35"/>
  <cols>
    <col min="1" max="1" width="8.08984375" customWidth="1"/>
    <col min="2" max="2" width="12.54296875" customWidth="1"/>
    <col min="3" max="3" width="12.453125" bestFit="1" customWidth="1"/>
    <col min="4" max="4" width="15.26953125" customWidth="1"/>
    <col min="5" max="5" width="13.6328125" customWidth="1"/>
    <col min="6" max="6" width="14.54296875" customWidth="1"/>
  </cols>
  <sheetData>
    <row r="1" spans="1:7" x14ac:dyDescent="0.35">
      <c r="A1" t="s">
        <v>0</v>
      </c>
      <c r="B1" t="s">
        <v>1</v>
      </c>
      <c r="C1" t="s">
        <v>2</v>
      </c>
      <c r="D1" t="s">
        <v>3</v>
      </c>
      <c r="E1" t="s">
        <v>4</v>
      </c>
      <c r="F1" t="s">
        <v>5</v>
      </c>
      <c r="G1" t="s">
        <v>34</v>
      </c>
    </row>
    <row r="2" spans="1:7" x14ac:dyDescent="0.35">
      <c r="A2" t="s">
        <v>6</v>
      </c>
      <c r="B2" s="1">
        <v>12631970</v>
      </c>
      <c r="C2" s="1">
        <v>13383500</v>
      </c>
      <c r="D2" s="1">
        <v>12008000</v>
      </c>
      <c r="E2" s="1">
        <v>4905500</v>
      </c>
      <c r="F2" s="1">
        <v>42928970</v>
      </c>
      <c r="G2" s="5">
        <v>0.28000000000000003</v>
      </c>
    </row>
    <row r="3" spans="1:7" x14ac:dyDescent="0.35">
      <c r="A3" t="s">
        <v>7</v>
      </c>
      <c r="B3" s="1">
        <v>12660923</v>
      </c>
      <c r="C3" s="1">
        <v>12902700</v>
      </c>
      <c r="D3" s="1">
        <v>8720000</v>
      </c>
      <c r="E3" s="1">
        <v>4103300</v>
      </c>
      <c r="F3" s="1">
        <v>38386923</v>
      </c>
      <c r="G3" s="5">
        <v>0.33</v>
      </c>
    </row>
    <row r="4" spans="1:7" x14ac:dyDescent="0.35">
      <c r="A4" t="s">
        <v>8</v>
      </c>
      <c r="B4" s="1">
        <v>21419981</v>
      </c>
      <c r="C4" s="1">
        <v>18584550</v>
      </c>
      <c r="D4" s="1">
        <v>9905500</v>
      </c>
      <c r="E4" s="1">
        <v>5086300</v>
      </c>
      <c r="F4" s="1">
        <v>54996331</v>
      </c>
      <c r="G4" s="5">
        <v>0.45</v>
      </c>
    </row>
    <row r="5" spans="1:7" x14ac:dyDescent="0.35">
      <c r="A5" t="s">
        <v>9</v>
      </c>
      <c r="B5" s="1">
        <v>25529485</v>
      </c>
      <c r="C5" s="1">
        <v>16074500</v>
      </c>
      <c r="D5" s="1">
        <v>9953800</v>
      </c>
      <c r="E5" s="1">
        <v>4591400</v>
      </c>
      <c r="F5" s="1">
        <v>56149185</v>
      </c>
      <c r="G5" s="5">
        <v>0.61</v>
      </c>
    </row>
    <row r="6" spans="1:7" x14ac:dyDescent="0.35">
      <c r="A6" t="s">
        <v>10</v>
      </c>
      <c r="B6" s="1">
        <v>16682226</v>
      </c>
      <c r="C6" s="1">
        <v>16924700</v>
      </c>
      <c r="D6" s="1">
        <v>10703000</v>
      </c>
      <c r="E6" s="1">
        <v>4735900</v>
      </c>
      <c r="F6" s="1">
        <v>49045826</v>
      </c>
      <c r="G6" s="5">
        <v>0.41</v>
      </c>
    </row>
    <row r="7" spans="1:7" x14ac:dyDescent="0.35">
      <c r="A7" t="s">
        <v>11</v>
      </c>
      <c r="B7" s="1">
        <v>10972284</v>
      </c>
      <c r="C7" s="1">
        <v>11879200</v>
      </c>
      <c r="D7" s="1">
        <v>11879200</v>
      </c>
      <c r="E7" s="1">
        <v>2925000</v>
      </c>
      <c r="F7" s="1">
        <v>34113484</v>
      </c>
      <c r="G7" s="5">
        <v>0.32</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5EF05-FF58-4FA7-BB0F-090D5CC8B87E}">
  <dimension ref="A3:C7"/>
  <sheetViews>
    <sheetView workbookViewId="0">
      <selection activeCell="A4" sqref="A4"/>
    </sheetView>
  </sheetViews>
  <sheetFormatPr defaultRowHeight="14.5" x14ac:dyDescent="0.35"/>
  <cols>
    <col min="1" max="1" width="13.453125" bestFit="1" customWidth="1"/>
    <col min="2" max="2" width="12.453125" bestFit="1" customWidth="1"/>
    <col min="3" max="3" width="19.6328125" bestFit="1" customWidth="1"/>
    <col min="4" max="5" width="18" bestFit="1" customWidth="1"/>
  </cols>
  <sheetData>
    <row r="3" spans="1:3" x14ac:dyDescent="0.35">
      <c r="A3" s="2" t="s">
        <v>22</v>
      </c>
      <c r="C3" t="s">
        <v>27</v>
      </c>
    </row>
    <row r="4" spans="1:3" x14ac:dyDescent="0.35">
      <c r="A4" s="3" t="s">
        <v>23</v>
      </c>
      <c r="B4" s="1">
        <v>99896869</v>
      </c>
      <c r="C4" t="str">
        <f>_xlfn.UNICHAR(8358)&amp;TEXT(B4/1000000,"0.0")&amp;"M"</f>
        <v>₦99.9M</v>
      </c>
    </row>
    <row r="5" spans="1:3" x14ac:dyDescent="0.35">
      <c r="A5" s="3" t="s">
        <v>24</v>
      </c>
      <c r="B5" s="1">
        <v>89749150</v>
      </c>
      <c r="C5" t="str">
        <f t="shared" ref="C5:C7" si="0">_xlfn.UNICHAR(8358)&amp;TEXT(B5/1000000,"0.0")&amp;"M"</f>
        <v>₦89.7M</v>
      </c>
    </row>
    <row r="6" spans="1:3" x14ac:dyDescent="0.35">
      <c r="A6" s="3" t="s">
        <v>25</v>
      </c>
      <c r="B6" s="1">
        <v>63169500</v>
      </c>
      <c r="C6" t="str">
        <f t="shared" si="0"/>
        <v>₦63.2M</v>
      </c>
    </row>
    <row r="7" spans="1:3" x14ac:dyDescent="0.35">
      <c r="A7" s="3" t="s">
        <v>26</v>
      </c>
      <c r="B7" s="1">
        <v>26347400</v>
      </c>
      <c r="C7" t="str">
        <f t="shared" si="0"/>
        <v>₦26.3M</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3C19B-9511-4345-8AFE-8683B0EF9507}">
  <dimension ref="A3:B10"/>
  <sheetViews>
    <sheetView workbookViewId="0">
      <selection activeCell="L3" sqref="L3"/>
    </sheetView>
  </sheetViews>
  <sheetFormatPr defaultRowHeight="14.5" x14ac:dyDescent="0.35"/>
  <cols>
    <col min="1" max="1" width="10.36328125" bestFit="1" customWidth="1"/>
    <col min="2" max="2" width="18.90625" bestFit="1" customWidth="1"/>
  </cols>
  <sheetData>
    <row r="3" spans="1:2" x14ac:dyDescent="0.35">
      <c r="A3" s="2" t="s">
        <v>0</v>
      </c>
      <c r="B3" t="s">
        <v>15</v>
      </c>
    </row>
    <row r="4" spans="1:2" x14ac:dyDescent="0.35">
      <c r="A4" s="3" t="s">
        <v>6</v>
      </c>
      <c r="B4" s="1">
        <v>42928970</v>
      </c>
    </row>
    <row r="5" spans="1:2" x14ac:dyDescent="0.35">
      <c r="A5" s="3" t="s">
        <v>7</v>
      </c>
      <c r="B5" s="1">
        <v>38386923</v>
      </c>
    </row>
    <row r="6" spans="1:2" x14ac:dyDescent="0.35">
      <c r="A6" s="3" t="s">
        <v>8</v>
      </c>
      <c r="B6" s="1">
        <v>54996331</v>
      </c>
    </row>
    <row r="7" spans="1:2" x14ac:dyDescent="0.35">
      <c r="A7" s="3" t="s">
        <v>9</v>
      </c>
      <c r="B7" s="1">
        <v>56149185</v>
      </c>
    </row>
    <row r="8" spans="1:2" x14ac:dyDescent="0.35">
      <c r="A8" s="3" t="s">
        <v>10</v>
      </c>
      <c r="B8" s="1">
        <v>49045826</v>
      </c>
    </row>
    <row r="9" spans="1:2" x14ac:dyDescent="0.35">
      <c r="A9" s="3" t="s">
        <v>11</v>
      </c>
      <c r="B9" s="1">
        <v>34113484</v>
      </c>
    </row>
    <row r="10" spans="1:2" x14ac:dyDescent="0.35">
      <c r="A10" s="3" t="s">
        <v>12</v>
      </c>
      <c r="B10" s="1">
        <v>275620719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EC52F-54C5-44E8-8DD8-AF69C24A6B5F}">
  <dimension ref="A3:B9"/>
  <sheetViews>
    <sheetView workbookViewId="0">
      <selection activeCell="L10" sqref="L10"/>
    </sheetView>
  </sheetViews>
  <sheetFormatPr defaultRowHeight="14.5" x14ac:dyDescent="0.35"/>
  <cols>
    <col min="1" max="1" width="8.36328125" bestFit="1" customWidth="1"/>
    <col min="2" max="2" width="26.1796875" bestFit="1" customWidth="1"/>
  </cols>
  <sheetData>
    <row r="3" spans="1:2" x14ac:dyDescent="0.35">
      <c r="A3" s="2" t="s">
        <v>0</v>
      </c>
      <c r="B3" t="s">
        <v>35</v>
      </c>
    </row>
    <row r="4" spans="1:2" x14ac:dyDescent="0.35">
      <c r="A4" s="3" t="s">
        <v>6</v>
      </c>
      <c r="B4" s="6">
        <v>0.28000000000000003</v>
      </c>
    </row>
    <row r="5" spans="1:2" x14ac:dyDescent="0.35">
      <c r="A5" s="3" t="s">
        <v>7</v>
      </c>
      <c r="B5" s="6">
        <v>0.33</v>
      </c>
    </row>
    <row r="6" spans="1:2" x14ac:dyDescent="0.35">
      <c r="A6" s="3" t="s">
        <v>8</v>
      </c>
      <c r="B6" s="6">
        <v>0.45</v>
      </c>
    </row>
    <row r="7" spans="1:2" x14ac:dyDescent="0.35">
      <c r="A7" s="3" t="s">
        <v>9</v>
      </c>
      <c r="B7" s="6">
        <v>0.61</v>
      </c>
    </row>
    <row r="8" spans="1:2" x14ac:dyDescent="0.35">
      <c r="A8" s="3" t="s">
        <v>10</v>
      </c>
      <c r="B8" s="6">
        <v>0.41</v>
      </c>
    </row>
    <row r="9" spans="1:2" x14ac:dyDescent="0.35">
      <c r="A9" s="3" t="s">
        <v>11</v>
      </c>
      <c r="B9" s="6">
        <v>0.32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06AFF-1979-4AA1-92F5-E8F6D80E7BDA}">
  <dimension ref="A3:E10"/>
  <sheetViews>
    <sheetView topLeftCell="A2" workbookViewId="0">
      <selection activeCell="C17" sqref="C17"/>
    </sheetView>
  </sheetViews>
  <sheetFormatPr defaultRowHeight="14.5" x14ac:dyDescent="0.35"/>
  <cols>
    <col min="1" max="1" width="10.36328125" bestFit="1" customWidth="1"/>
    <col min="2" max="2" width="16.81640625" bestFit="1" customWidth="1"/>
    <col min="3" max="3" width="16.08984375" bestFit="1" customWidth="1"/>
    <col min="4" max="4" width="19.6328125" bestFit="1" customWidth="1"/>
    <col min="5" max="5" width="18" bestFit="1" customWidth="1"/>
  </cols>
  <sheetData>
    <row r="3" spans="1:5" x14ac:dyDescent="0.35">
      <c r="A3" s="2" t="s">
        <v>0</v>
      </c>
      <c r="B3" t="s">
        <v>13</v>
      </c>
      <c r="C3" t="s">
        <v>16</v>
      </c>
      <c r="D3" t="s">
        <v>18</v>
      </c>
      <c r="E3" t="s">
        <v>20</v>
      </c>
    </row>
    <row r="4" spans="1:5" x14ac:dyDescent="0.35">
      <c r="A4" s="3" t="s">
        <v>6</v>
      </c>
      <c r="B4" s="1">
        <v>12631970</v>
      </c>
      <c r="C4" s="1">
        <v>13383500</v>
      </c>
      <c r="D4" s="1">
        <v>12008000</v>
      </c>
      <c r="E4" s="1">
        <v>4905500</v>
      </c>
    </row>
    <row r="5" spans="1:5" x14ac:dyDescent="0.35">
      <c r="A5" s="3" t="s">
        <v>7</v>
      </c>
      <c r="B5" s="1">
        <v>12660923</v>
      </c>
      <c r="C5" s="1">
        <v>12902700</v>
      </c>
      <c r="D5" s="1">
        <v>8720000</v>
      </c>
      <c r="E5" s="1">
        <v>4103300</v>
      </c>
    </row>
    <row r="6" spans="1:5" x14ac:dyDescent="0.35">
      <c r="A6" s="3" t="s">
        <v>8</v>
      </c>
      <c r="B6" s="1">
        <v>21419981</v>
      </c>
      <c r="C6" s="1">
        <v>18584550</v>
      </c>
      <c r="D6" s="1">
        <v>9905500</v>
      </c>
      <c r="E6" s="1">
        <v>5086300</v>
      </c>
    </row>
    <row r="7" spans="1:5" x14ac:dyDescent="0.35">
      <c r="A7" s="3" t="s">
        <v>9</v>
      </c>
      <c r="B7" s="1">
        <v>25529485</v>
      </c>
      <c r="C7" s="1">
        <v>16074500</v>
      </c>
      <c r="D7" s="1">
        <v>9953800</v>
      </c>
      <c r="E7" s="1">
        <v>4591400</v>
      </c>
    </row>
    <row r="8" spans="1:5" x14ac:dyDescent="0.35">
      <c r="A8" s="3" t="s">
        <v>10</v>
      </c>
      <c r="B8" s="1">
        <v>16682226</v>
      </c>
      <c r="C8" s="1">
        <v>16924700</v>
      </c>
      <c r="D8" s="1">
        <v>10703000</v>
      </c>
      <c r="E8" s="1">
        <v>4735900</v>
      </c>
    </row>
    <row r="9" spans="1:5" x14ac:dyDescent="0.35">
      <c r="A9" s="3" t="s">
        <v>11</v>
      </c>
      <c r="B9" s="1">
        <v>10972284</v>
      </c>
      <c r="C9" s="1">
        <v>11879200</v>
      </c>
      <c r="D9" s="1">
        <v>11879200</v>
      </c>
      <c r="E9" s="1">
        <v>2925000</v>
      </c>
    </row>
    <row r="10" spans="1:5" x14ac:dyDescent="0.35">
      <c r="A10" s="3" t="s">
        <v>12</v>
      </c>
      <c r="B10" s="1">
        <v>99896869</v>
      </c>
      <c r="C10" s="1">
        <v>89749150</v>
      </c>
      <c r="D10" s="1">
        <v>63169500</v>
      </c>
      <c r="E10" s="1">
        <v>26347400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DF077-5380-440C-AC1F-779D0BF5C978}">
  <dimension ref="A3:B10"/>
  <sheetViews>
    <sheetView workbookViewId="0">
      <selection activeCell="E13" sqref="E13"/>
    </sheetView>
  </sheetViews>
  <sheetFormatPr defaultRowHeight="14.5" x14ac:dyDescent="0.35"/>
  <cols>
    <col min="1" max="1" width="10.36328125" bestFit="1" customWidth="1"/>
    <col min="2" max="2" width="15.08984375" bestFit="1" customWidth="1"/>
  </cols>
  <sheetData>
    <row r="3" spans="1:2" x14ac:dyDescent="0.35">
      <c r="A3" s="2" t="s">
        <v>0</v>
      </c>
      <c r="B3" t="s">
        <v>14</v>
      </c>
    </row>
    <row r="4" spans="1:2" x14ac:dyDescent="0.35">
      <c r="A4" s="3" t="s">
        <v>6</v>
      </c>
      <c r="B4" s="1">
        <v>12631970</v>
      </c>
    </row>
    <row r="5" spans="1:2" x14ac:dyDescent="0.35">
      <c r="A5" s="3" t="s">
        <v>7</v>
      </c>
      <c r="B5" s="1">
        <v>12660923</v>
      </c>
    </row>
    <row r="6" spans="1:2" x14ac:dyDescent="0.35">
      <c r="A6" s="3" t="s">
        <v>8</v>
      </c>
      <c r="B6" s="1">
        <v>21419981</v>
      </c>
    </row>
    <row r="7" spans="1:2" x14ac:dyDescent="0.35">
      <c r="A7" s="3" t="s">
        <v>9</v>
      </c>
      <c r="B7" s="1">
        <v>25529485</v>
      </c>
    </row>
    <row r="8" spans="1:2" x14ac:dyDescent="0.35">
      <c r="A8" s="3" t="s">
        <v>10</v>
      </c>
      <c r="B8" s="1">
        <v>16682226</v>
      </c>
    </row>
    <row r="9" spans="1:2" x14ac:dyDescent="0.35">
      <c r="A9" s="3" t="s">
        <v>11</v>
      </c>
      <c r="B9" s="1">
        <v>10972284</v>
      </c>
    </row>
    <row r="10" spans="1:2" x14ac:dyDescent="0.35">
      <c r="A10" s="3" t="s">
        <v>12</v>
      </c>
      <c r="B10" s="1">
        <v>99896869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BAB3A-FA1D-4903-AA00-028EB30067FD}">
  <dimension ref="A3:B10"/>
  <sheetViews>
    <sheetView workbookViewId="0">
      <selection activeCell="E5" sqref="E5"/>
    </sheetView>
  </sheetViews>
  <sheetFormatPr defaultRowHeight="14.5" x14ac:dyDescent="0.35"/>
  <cols>
    <col min="1" max="1" width="10.36328125" bestFit="1" customWidth="1"/>
    <col min="2" max="2" width="14.36328125" bestFit="1" customWidth="1"/>
  </cols>
  <sheetData>
    <row r="3" spans="1:2" x14ac:dyDescent="0.35">
      <c r="A3" s="2" t="s">
        <v>0</v>
      </c>
      <c r="B3" t="s">
        <v>17</v>
      </c>
    </row>
    <row r="4" spans="1:2" x14ac:dyDescent="0.35">
      <c r="A4" s="3" t="s">
        <v>6</v>
      </c>
      <c r="B4" s="1">
        <v>13383500</v>
      </c>
    </row>
    <row r="5" spans="1:2" x14ac:dyDescent="0.35">
      <c r="A5" s="3" t="s">
        <v>7</v>
      </c>
      <c r="B5" s="1">
        <v>12902700</v>
      </c>
    </row>
    <row r="6" spans="1:2" x14ac:dyDescent="0.35">
      <c r="A6" s="3" t="s">
        <v>8</v>
      </c>
      <c r="B6" s="1">
        <v>18584550</v>
      </c>
    </row>
    <row r="7" spans="1:2" x14ac:dyDescent="0.35">
      <c r="A7" s="3" t="s">
        <v>9</v>
      </c>
      <c r="B7" s="1">
        <v>16074500</v>
      </c>
    </row>
    <row r="8" spans="1:2" x14ac:dyDescent="0.35">
      <c r="A8" s="3" t="s">
        <v>10</v>
      </c>
      <c r="B8" s="1">
        <v>16924700</v>
      </c>
    </row>
    <row r="9" spans="1:2" x14ac:dyDescent="0.35">
      <c r="A9" s="3" t="s">
        <v>11</v>
      </c>
      <c r="B9" s="1">
        <v>11879200</v>
      </c>
    </row>
    <row r="10" spans="1:2" x14ac:dyDescent="0.35">
      <c r="A10" s="3" t="s">
        <v>12</v>
      </c>
      <c r="B10" s="1">
        <v>89749150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24A03-A421-4E24-AACF-A15E53A66B45}">
  <dimension ref="A3:B10"/>
  <sheetViews>
    <sheetView workbookViewId="0">
      <selection activeCell="G7" sqref="G7"/>
    </sheetView>
  </sheetViews>
  <sheetFormatPr defaultRowHeight="14.5" x14ac:dyDescent="0.35"/>
  <cols>
    <col min="1" max="1" width="10.36328125" bestFit="1" customWidth="1"/>
    <col min="2" max="2" width="17.90625" bestFit="1" customWidth="1"/>
  </cols>
  <sheetData>
    <row r="3" spans="1:2" x14ac:dyDescent="0.35">
      <c r="A3" s="2" t="s">
        <v>0</v>
      </c>
      <c r="B3" t="s">
        <v>19</v>
      </c>
    </row>
    <row r="4" spans="1:2" x14ac:dyDescent="0.35">
      <c r="A4" s="3" t="s">
        <v>6</v>
      </c>
      <c r="B4" s="1">
        <v>12008000</v>
      </c>
    </row>
    <row r="5" spans="1:2" x14ac:dyDescent="0.35">
      <c r="A5" s="3" t="s">
        <v>7</v>
      </c>
      <c r="B5" s="1">
        <v>8720000</v>
      </c>
    </row>
    <row r="6" spans="1:2" x14ac:dyDescent="0.35">
      <c r="A6" s="3" t="s">
        <v>8</v>
      </c>
      <c r="B6" s="1">
        <v>9905500</v>
      </c>
    </row>
    <row r="7" spans="1:2" x14ac:dyDescent="0.35">
      <c r="A7" s="3" t="s">
        <v>9</v>
      </c>
      <c r="B7" s="1">
        <v>9953800</v>
      </c>
    </row>
    <row r="8" spans="1:2" x14ac:dyDescent="0.35">
      <c r="A8" s="3" t="s">
        <v>10</v>
      </c>
      <c r="B8" s="1">
        <v>10703000</v>
      </c>
    </row>
    <row r="9" spans="1:2" x14ac:dyDescent="0.35">
      <c r="A9" s="3" t="s">
        <v>11</v>
      </c>
      <c r="B9" s="1">
        <v>11879200</v>
      </c>
    </row>
    <row r="10" spans="1:2" x14ac:dyDescent="0.35">
      <c r="A10" s="3" t="s">
        <v>12</v>
      </c>
      <c r="B10" s="1">
        <v>63169500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CD604-9943-4171-AA95-336130055556}">
  <dimension ref="A3:B10"/>
  <sheetViews>
    <sheetView workbookViewId="0">
      <selection activeCell="E15" sqref="E15"/>
    </sheetView>
  </sheetViews>
  <sheetFormatPr defaultRowHeight="14.5" x14ac:dyDescent="0.35"/>
  <cols>
    <col min="1" max="1" width="10.36328125" bestFit="1" customWidth="1"/>
    <col min="2" max="2" width="16.1796875" bestFit="1" customWidth="1"/>
  </cols>
  <sheetData>
    <row r="3" spans="1:2" x14ac:dyDescent="0.35">
      <c r="A3" s="2" t="s">
        <v>0</v>
      </c>
      <c r="B3" t="s">
        <v>21</v>
      </c>
    </row>
    <row r="4" spans="1:2" x14ac:dyDescent="0.35">
      <c r="A4" s="3" t="s">
        <v>6</v>
      </c>
      <c r="B4" s="1">
        <v>4905500</v>
      </c>
    </row>
    <row r="5" spans="1:2" x14ac:dyDescent="0.35">
      <c r="A5" s="3" t="s">
        <v>7</v>
      </c>
      <c r="B5" s="1">
        <v>4103300</v>
      </c>
    </row>
    <row r="6" spans="1:2" x14ac:dyDescent="0.35">
      <c r="A6" s="3" t="s">
        <v>8</v>
      </c>
      <c r="B6" s="1">
        <v>5086300</v>
      </c>
    </row>
    <row r="7" spans="1:2" x14ac:dyDescent="0.35">
      <c r="A7" s="3" t="s">
        <v>9</v>
      </c>
      <c r="B7" s="1">
        <v>4591400</v>
      </c>
    </row>
    <row r="8" spans="1:2" x14ac:dyDescent="0.35">
      <c r="A8" s="3" t="s">
        <v>10</v>
      </c>
      <c r="B8" s="1">
        <v>4735900</v>
      </c>
    </row>
    <row r="9" spans="1:2" x14ac:dyDescent="0.35">
      <c r="A9" s="3" t="s">
        <v>11</v>
      </c>
      <c r="B9" s="1">
        <v>2925000</v>
      </c>
    </row>
    <row r="10" spans="1:2" x14ac:dyDescent="0.35">
      <c r="A10" s="3" t="s">
        <v>12</v>
      </c>
      <c r="B10" s="1">
        <v>26347400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53579-2DA1-4232-BF57-DC26E5A90486}">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771C92-B950-4308-B0B9-23D45C2245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Dashboard V2 Worksheet</vt:lpstr>
      <vt:lpstr>Master_Pivot</vt:lpstr>
      <vt:lpstr>Master Data Table</vt:lpstr>
      <vt:lpstr>Contribution_Pivot</vt:lpstr>
      <vt:lpstr>Revenue_Pivot</vt:lpstr>
      <vt:lpstr>Occupancy_Pivot</vt:lpstr>
      <vt:lpstr>Performance_Pivot</vt:lpstr>
      <vt:lpstr>Room_Pivot</vt:lpstr>
      <vt:lpstr>Food_Pivot</vt:lpstr>
      <vt:lpstr>Beverage_Pivot</vt:lpstr>
      <vt:lpstr>Sundry_Pivot</vt:lpstr>
      <vt:lpstr>Room Occupancy Rate</vt:lpstr>
      <vt:lpstr>'Dashboard V2 Worksheet'!Print_Area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Chidinma Njoku</dc:creator>
  <cp:lastModifiedBy>Chidinma Njoku</cp:lastModifiedBy>
  <cp:lastPrinted>2026-08-12T11:32:24Z</cp:lastPrinted>
  <dcterms:created xsi:type="dcterms:W3CDTF">2026-08-07T14:27:14Z</dcterms:created>
  <dcterms:modified xsi:type="dcterms:W3CDTF">2026-08-12T12:09:31Z</dcterms:modified>
</cp:coreProperties>
</file>